
<file path=[Content_Types].xml><?xml version="1.0" encoding="utf-8"?>
<Types xmlns="http://schemas.openxmlformats.org/package/2006/content-types">
  <Default Extension="bin" ContentType="application/vnd.ms-office.vbaProject"/>
  <Override PartName="/xl/_rels/workbook.xml.rels" ContentType="application/vnd.openxmlformats-package.relationships+xml"/>
  <Override PartName="/xl/sharedStrings.xml" ContentType="application/vnd.openxmlformats-officedocument.spreadsheetml.sharedString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田埂修筑质量评定表" sheetId="1" r:id="rId2" state="visible"/>
    <sheet name="模板制作及安装工序" sheetId="2" r:id="rId3" state="visible"/>
    <sheet name="表土及土质岸坡清理工序" sheetId="3" r:id="rId4" state="visible"/>
  </sheets>
  <externalReferences>
    <externalReference r:id="rId5"/>
    <externalReference r:id="rId6"/>
  </externalReference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<sst xmlns="http://schemas.openxmlformats.org/spreadsheetml/2006/main" count="162" uniqueCount="162">
  <si>
    <t xml:space="preserve">田埂修筑</t>
  </si>
  <si>
    <t xml:space="preserve">单元工程质量检验评定表</t>
  </si>
  <si>
    <t xml:space="preserve">项目名称：</t>
  </si>
  <si>
    <r>
      <rPr>
        <rFont val="Noto Sans CJK SC"/>
        <family val="2"/>
        <color rgb="FF000000"/>
        <sz val="10"/>
      </rPr>
      <t xml:space="preserve">布拖县</t>
    </r>
    <r>
      <rPr>
        <rFont val="宋体"/>
        <charset val="134"/>
        <family val="3"/>
        <color rgb="FF000000"/>
        <sz val="10"/>
      </rPr>
      <t xml:space="preserve">2024</t>
    </r>
    <r>
      <rPr>
        <rFont val="Noto Sans CJK SC"/>
        <family val="2"/>
        <color rgb="FF000000"/>
        <sz val="10"/>
      </rPr>
      <t xml:space="preserve">年高标准农田建设项目（增发国债）</t>
    </r>
  </si>
  <si>
    <t xml:space="preserve">合同编号：</t>
  </si>
  <si>
    <t xml:space="preserve">单位（子单位）工程名称或编码</t>
  </si>
  <si>
    <t xml:space="preserve">工程量</t>
  </si>
  <si>
    <t xml:space="preserve">分部工程名称或编码</t>
  </si>
  <si>
    <t xml:space="preserve">检验日期</t>
  </si>
  <si>
    <t xml:space="preserve">年  月  日</t>
  </si>
  <si>
    <t xml:space="preserve">单元工程名称</t>
  </si>
  <si>
    <r>
      <rPr>
        <rFont val="宋体"/>
        <charset val="134"/>
        <family val="3"/>
        <color rgb="FF000000"/>
        <sz val="10"/>
      </rPr>
      <t xml:space="preserve">2024HD10</t>
    </r>
    <r>
      <rPr>
        <rFont val="Noto Sans CJK SC"/>
        <family val="2"/>
        <color rgb="FF000000"/>
        <sz val="10"/>
      </rPr>
      <t xml:space="preserve">地块</t>
    </r>
    <r>
      <rPr>
        <rFont val="宋体"/>
        <charset val="134"/>
        <family val="3"/>
        <color rgb="FF000000"/>
        <sz val="10"/>
      </rPr>
      <t xml:space="preserve">-@file_num</t>
    </r>
    <r>
      <rPr>
        <rFont val="Noto Sans CJK SC"/>
        <family val="2"/>
        <color rgb="FF000000"/>
        <sz val="10"/>
      </rPr>
      <t xml:space="preserve">土地平整</t>
    </r>
  </si>
  <si>
    <t xml:space="preserve">项次</t>
  </si>
  <si>
    <t xml:space="preserve">检查项目</t>
  </si>
  <si>
    <t xml:space="preserve">质量标准</t>
  </si>
  <si>
    <t xml:space="preserve">检验结果</t>
  </si>
  <si>
    <t xml:space="preserve">田埂的位置</t>
  </si>
  <si>
    <t xml:space="preserve">田埂的位置应符合设计要求</t>
  </si>
  <si>
    <t xml:space="preserve">符合要求  </t>
  </si>
  <si>
    <t xml:space="preserve">田埂土料</t>
  </si>
  <si>
    <t xml:space="preserve">田埂土料应符合设计要求</t>
  </si>
  <si>
    <t xml:space="preserve">田埂截面尺寸偏差</t>
  </si>
  <si>
    <t xml:space="preserve">田埂截面尺寸偏差应符合设计要求</t>
  </si>
  <si>
    <t xml:space="preserve">田埂质量</t>
  </si>
  <si>
    <t xml:space="preserve">田埂应密实，不应有松散、塌陷等质量问题</t>
  </si>
  <si>
    <t xml:space="preserve">检测项目</t>
  </si>
  <si>
    <r>
      <rPr>
        <rFont val="Noto Sans CJK SC"/>
        <family val="2"/>
        <color rgb="FF000000"/>
        <sz val="10"/>
      </rPr>
      <t xml:space="preserve">允许偏差</t>
    </r>
    <r>
      <rPr>
        <rFont val="宋体"/>
        <charset val="134"/>
        <family val="3"/>
        <color rgb="FF000000"/>
        <sz val="10"/>
      </rPr>
      <t xml:space="preserve">_x005F_x000D_
</t>
    </r>
    <r>
      <rPr>
        <rFont val="Noto Sans CJK SC"/>
        <family val="2"/>
        <color rgb="FF000000"/>
        <sz val="10"/>
      </rPr>
      <t xml:space="preserve">（</t>
    </r>
    <r>
      <rPr>
        <rFont val="宋体"/>
        <charset val="134"/>
        <family val="3"/>
        <color rgb="FF000000"/>
        <sz val="10"/>
      </rPr>
      <t xml:space="preserve">mm</t>
    </r>
    <r>
      <rPr>
        <rFont val="Noto Sans CJK SC"/>
        <family val="2"/>
        <color rgb="FF000000"/>
        <sz val="10"/>
      </rPr>
      <t xml:space="preserve">）</t>
    </r>
  </si>
  <si>
    <t xml:space="preserve">检测值</t>
  </si>
  <si>
    <r>
      <rPr>
        <rFont val="Noto Sans CJK SC"/>
        <family val="2"/>
        <color rgb="FF000000"/>
        <sz val="10"/>
      </rPr>
      <t xml:space="preserve">合格率</t>
    </r>
    <r>
      <rPr>
        <rFont val="宋体"/>
        <charset val="134"/>
        <family val="3"/>
        <color rgb="FF000000"/>
        <sz val="10"/>
      </rPr>
      <t xml:space="preserve">_x005F_x000D_
</t>
    </r>
    <r>
      <rPr>
        <rFont val="Noto Sans CJK SC"/>
        <family val="2"/>
        <color rgb="FF000000"/>
        <sz val="10"/>
      </rPr>
      <t xml:space="preserve">（</t>
    </r>
    <r>
      <rPr>
        <rFont val="宋体"/>
        <charset val="134"/>
        <family val="3"/>
        <color rgb="FF000000"/>
        <sz val="10"/>
      </rPr>
      <t xml:space="preserve">%</t>
    </r>
    <r>
      <rPr>
        <rFont val="Noto Sans CJK SC"/>
        <family val="2"/>
        <color rgb="FF000000"/>
        <sz val="10"/>
      </rPr>
      <t xml:space="preserve">）</t>
    </r>
  </si>
  <si>
    <t xml:space="preserve">田埂断面尺寸</t>
  </si>
  <si>
    <t xml:space="preserve">±30</t>
  </si>
  <si>
    <t xml:space="preserve">@int&lt;-30,30&gt;.cell</t>
  </si>
  <si>
    <t xml:space="preserve">顺直度</t>
  </si>
  <si>
    <t xml:space="preserve">±80</t>
  </si>
  <si>
    <t xml:space="preserve">@int&lt;-80,80&gt;.cell</t>
  </si>
  <si>
    <t xml:space="preserve">田埂顶面高程
</t>
  </si>
  <si>
    <t xml:space="preserve">±50</t>
  </si>
  <si>
    <t xml:space="preserve">@int&lt;-50,50&gt;.cell</t>
  </si>
  <si>
    <t xml:space="preserve">共检测</t>
  </si>
  <si>
    <t xml:space="preserve">30</t>
  </si>
  <si>
    <t xml:space="preserve">点，其中合格</t>
  </si>
  <si>
    <t xml:space="preserve">点，合格率</t>
  </si>
  <si>
    <t xml:space="preserve">%</t>
  </si>
  <si>
    <t xml:space="preserve">评定结论：</t>
  </si>
  <si>
    <t xml:space="preserve">□ </t>
  </si>
  <si>
    <t xml:space="preserve">合格</t>
  </si>
  <si>
    <t xml:space="preserve">不合格</t>
  </si>
  <si>
    <t xml:space="preserve">施工单位（盖章）</t>
  </si>
  <si>
    <t xml:space="preserve">监理单位（盖章）</t>
  </si>
  <si>
    <t xml:space="preserve">质检员：</t>
  </si>
  <si>
    <t xml:space="preserve"> 监理工程师：</t>
  </si>
  <si>
    <t xml:space="preserve">质量（技术）负责人：</t>
  </si>
  <si>
    <t xml:space="preserve">注：检验日期为终检日期，由施工单位负责填写。</t>
  </si>
  <si>
    <r>
      <rPr>
        <rFont val="Noto Sans CJK SC"/>
        <family val="2"/>
        <b/>
        <color rgb="FFFF0000"/>
        <sz val="14"/>
        <u val="single"/>
      </rPr>
      <t xml:space="preserve">布拖</t>
    </r>
    <r>
      <rPr>
        <rFont val="宋体"/>
        <charset val="134"/>
        <family val="3"/>
        <b/>
        <color rgb="FFFF0000"/>
        <sz val="14"/>
        <u val="single"/>
      </rPr>
      <t xml:space="preserve">2024</t>
    </r>
    <r>
      <rPr>
        <rFont val="Noto Sans CJK SC"/>
        <family val="2"/>
        <b/>
        <color rgb="FFFF0000"/>
        <sz val="14"/>
        <u val="single"/>
      </rPr>
      <t xml:space="preserve">年高标准农田建设项目（增发国债）</t>
    </r>
    <r>
      <rPr>
        <rFont val="Noto Sans CJK SC"/>
        <family val="2"/>
        <b/>
        <color rgb="FF000000"/>
        <sz val="14"/>
      </rPr>
      <t xml:space="preserve">工程</t>
    </r>
  </si>
  <si>
    <r>
      <rPr>
        <rFont val="Noto Sans CJK SC"/>
        <family val="2"/>
        <b/>
        <color rgb="FF000000"/>
        <sz val="14"/>
      </rPr>
      <t xml:space="preserve">表</t>
    </r>
    <r>
      <rPr>
        <rFont val="宋体"/>
        <charset val="134"/>
        <family val="3"/>
        <b/>
        <color rgb="FF000000"/>
        <sz val="14"/>
      </rPr>
      <t xml:space="preserve">2.1.2          </t>
    </r>
    <r>
      <rPr>
        <rFont val="Noto Sans CJK SC"/>
        <family val="2"/>
        <b/>
        <color rgb="FF000000"/>
        <sz val="14"/>
      </rPr>
      <t xml:space="preserve">模板制作及安装工序施工质量验收评定表</t>
    </r>
    <r>
      <rPr>
        <rFont val="Noto Sans CJK SC"/>
        <family val="2"/>
        <b/>
        <color rgb="FFFF0000"/>
        <sz val="14"/>
      </rPr>
      <t xml:space="preserve">（未找到对应设计值）</t>
    </r>
  </si>
  <si>
    <t xml:space="preserve">单位工程名称</t>
  </si>
  <si>
    <t xml:space="preserve">工序编号</t>
  </si>
  <si>
    <t xml:space="preserve">/</t>
  </si>
  <si>
    <t xml:space="preserve">分部工程名称</t>
  </si>
  <si>
    <t xml:space="preserve">施工单位</t>
  </si>
  <si>
    <t xml:space="preserve">四川华浩建筑工程有限公司</t>
  </si>
  <si>
    <t xml:space="preserve">单元工程名称、部位</t>
  </si>
  <si>
    <t xml:space="preserve">施工日期</t>
  </si>
  <si>
    <t xml:space="preserve">   年   月   日～    年   月   日</t>
  </si>
  <si>
    <t xml:space="preserve">检验项目</t>
  </si>
  <si>
    <t xml:space="preserve">质量要求</t>
  </si>
  <si>
    <t xml:space="preserve">检查记录</t>
  </si>
  <si>
    <t xml:space="preserve">合格数</t>
  </si>
  <si>
    <t xml:space="preserve">合格率</t>
  </si>
  <si>
    <t xml:space="preserve">主控项目</t>
  </si>
  <si>
    <t xml:space="preserve">稳定性、刚度和强度</t>
  </si>
  <si>
    <t xml:space="preserve">满足混凝土施工荷载要求，并符合模板设计要求</t>
  </si>
  <si>
    <t xml:space="preserve">钢支撑加拉筋固定，稳定性、刚度和强度检查结果完全符合质量要求。</t>
  </si>
  <si>
    <t xml:space="preserve">承重模板底面高程</t>
  </si>
  <si>
    <r>
      <rPr>
        <rFont val="Noto Sans CJK SC"/>
        <family val="2"/>
        <sz val="9"/>
      </rPr>
      <t xml:space="preserve">允许偏差</t>
    </r>
    <r>
      <rPr>
        <rFont val="宋体"/>
        <charset val="134"/>
        <family val="0"/>
        <sz val="9"/>
      </rPr>
      <t xml:space="preserve">0</t>
    </r>
    <r>
      <rPr>
        <rFont val="Noto Sans CJK SC"/>
        <family val="2"/>
        <sz val="9"/>
      </rPr>
      <t xml:space="preserve">～</t>
    </r>
    <r>
      <rPr>
        <rFont val="宋体"/>
        <charset val="134"/>
        <family val="0"/>
        <sz val="9"/>
      </rPr>
      <t xml:space="preserve">+5mm</t>
    </r>
  </si>
  <si>
    <t xml:space="preserve">排架、梁板、柱、墙</t>
  </si>
  <si>
    <t xml:space="preserve">结构断面尺寸</t>
  </si>
  <si>
    <r>
      <rPr>
        <rFont val="Noto Sans CJK SC"/>
        <family val="2"/>
        <sz val="9"/>
      </rPr>
      <t xml:space="preserve">允许偏差</t>
    </r>
    <r>
      <rPr>
        <rFont val="宋体"/>
        <charset val="134"/>
        <family val="0"/>
        <sz val="9"/>
      </rPr>
      <t xml:space="preserve">±10mm</t>
    </r>
  </si>
  <si>
    <t xml:space="preserve">@int&lt;-10,10&gt;,@int&lt;-10,10&gt;,@int&lt;-10,10&gt;,@int&lt;-10,10&gt;,@int&lt;-10,10&gt;,@int&lt;-10,10&gt;,@int&lt;-10,10&gt;,@int&lt;-10,10&gt;,@int&lt;-10,10&gt;,@int&lt;-10,10&gt;,@int&lt;-10,10&gt;,@int&lt;-10,10&gt;,@int&lt;-10,10&gt;,@int&lt;-10,10&gt;,@int&lt;-10,10&gt;,@int&lt;-10,10&gt;,@int&lt;-10,10&gt;,@int&lt;-10,10&gt;,@int&lt;-10,10&gt;,@int&lt;-10,10&gt;</t>
  </si>
  <si>
    <t xml:space="preserve">轴线位置</t>
  </si>
  <si>
    <r>
      <rPr>
        <rFont val="Times New Roman"/>
        <charset val="1"/>
        <family val="1"/>
        <color rgb="FFFF0000"/>
        <sz val="10"/>
      </rPr>
      <t xml:space="preserve">‘</t>
    </r>
    <r>
      <rPr>
        <rFont val="汉仪青云简"/>
        <charset val="134"/>
        <family val="0"/>
        <color rgb="FFFF0000"/>
        <sz val="10"/>
      </rPr>
      <t xml:space="preserve">-5,-5,-4,-3,-4,-3,-5,-7,10,9,-2,0,0,-1,-1,-2,-3,-5,4,-3</t>
    </r>
  </si>
  <si>
    <t xml:space="preserve">垂直度</t>
  </si>
  <si>
    <r>
      <rPr>
        <rFont val="Noto Sans CJK SC"/>
        <family val="2"/>
        <sz val="9"/>
      </rPr>
      <t xml:space="preserve">允许偏差</t>
    </r>
    <r>
      <rPr>
        <rFont val="宋体"/>
        <charset val="134"/>
        <family val="0"/>
        <sz val="9"/>
      </rPr>
      <t xml:space="preserve">±5mm</t>
    </r>
  </si>
  <si>
    <t xml:space="preserve">清洁洁净，无积水，无积渣、杂物，检查结果基本符合质量要求。</t>
  </si>
  <si>
    <t xml:space="preserve">结构物边线与设计边线</t>
  </si>
  <si>
    <t xml:space="preserve">外露表面</t>
  </si>
  <si>
    <r>
      <rPr>
        <rFont val="Noto Sans CJK SC"/>
        <family val="2"/>
        <sz val="9"/>
      </rPr>
      <t xml:space="preserve">内模板允许偏差</t>
    </r>
    <r>
      <rPr>
        <rFont val="宋体"/>
        <charset val="134"/>
        <family val="0"/>
        <sz val="9"/>
      </rPr>
      <t xml:space="preserve">0</t>
    </r>
    <r>
      <rPr>
        <rFont val="Noto Sans CJK SC"/>
        <family val="2"/>
        <sz val="9"/>
      </rPr>
      <t xml:space="preserve">～</t>
    </r>
    <r>
      <rPr>
        <rFont val="宋体"/>
        <charset val="134"/>
        <family val="0"/>
        <sz val="9"/>
      </rPr>
      <t xml:space="preserve">+10m</t>
    </r>
    <r>
      <rPr>
        <rFont val="Noto Sans CJK SC"/>
        <family val="2"/>
        <sz val="9"/>
      </rPr>
      <t xml:space="preserve">，外模板允许偏差</t>
    </r>
    <r>
      <rPr>
        <rFont val="宋体"/>
        <charset val="134"/>
        <family val="0"/>
        <sz val="9"/>
      </rPr>
      <t xml:space="preserve">-10mm</t>
    </r>
    <r>
      <rPr>
        <rFont val="Noto Sans CJK SC"/>
        <family val="2"/>
        <sz val="9"/>
      </rPr>
      <t xml:space="preserve">～</t>
    </r>
    <r>
      <rPr>
        <rFont val="宋体"/>
        <charset val="134"/>
        <family val="0"/>
        <sz val="9"/>
      </rPr>
      <t xml:space="preserve">0</t>
    </r>
  </si>
  <si>
    <r>
      <rPr>
        <rFont val="Noto Sans CJK SC"/>
        <family val="2"/>
        <color rgb="FFFF0000"/>
        <sz val="10"/>
      </rPr>
      <t xml:space="preserve">设计值：</t>
    </r>
    <r>
      <rPr>
        <rFont val="汉仪青云简"/>
        <charset val="134"/>
        <family val="0"/>
        <color rgb="FFFF0000"/>
        <sz val="10"/>
      </rPr>
      <t xml:space="preserve">8.5×15m</t>
    </r>
    <r>
      <rPr>
        <rFont val="Noto Sans CJK SC"/>
        <family val="2"/>
        <color rgb="FFFF0000"/>
        <sz val="10"/>
      </rPr>
      <t xml:space="preserve">，内模板：</t>
    </r>
    <r>
      <rPr>
        <rFont val="汉仪青云简"/>
        <charset val="134"/>
        <family val="0"/>
        <color rgb="FFFF0000"/>
        <sz val="10"/>
      </rPr>
      <t xml:space="preserve">8.5</t>
    </r>
    <r>
      <rPr>
        <rFont val="Noto Sans CJK SC"/>
        <family val="2"/>
        <color rgb="FFFF0000"/>
        <sz val="10"/>
      </rPr>
      <t xml:space="preserve">，</t>
    </r>
    <r>
      <rPr>
        <rFont val="汉仪青云简"/>
        <charset val="134"/>
        <family val="0"/>
        <color rgb="FFFF0000"/>
        <sz val="10"/>
      </rPr>
      <t xml:space="preserve">8.498</t>
    </r>
    <r>
      <rPr>
        <rFont val="Noto Sans CJK SC"/>
        <family val="2"/>
        <color rgb="FFFF0000"/>
        <sz val="10"/>
      </rPr>
      <t xml:space="preserve">，</t>
    </r>
    <r>
      <rPr>
        <rFont val="汉仪青云简"/>
        <charset val="134"/>
        <family val="0"/>
        <color rgb="FFFF0000"/>
        <sz val="10"/>
      </rPr>
      <t xml:space="preserve">8.495</t>
    </r>
    <r>
      <rPr>
        <rFont val="Noto Sans CJK SC"/>
        <family val="2"/>
        <color rgb="FFFF0000"/>
        <sz val="10"/>
      </rPr>
      <t xml:space="preserve">，</t>
    </r>
    <r>
      <rPr>
        <rFont val="汉仪青云简"/>
        <charset val="134"/>
        <family val="0"/>
        <color rgb="FFFF0000"/>
        <sz val="10"/>
      </rPr>
      <t xml:space="preserve">8.496</t>
    </r>
    <r>
      <rPr>
        <rFont val="Noto Sans CJK SC"/>
        <family val="2"/>
        <color rgb="FFFF0000"/>
        <sz val="10"/>
      </rPr>
      <t xml:space="preserve">，</t>
    </r>
    <r>
      <rPr>
        <rFont val="汉仪青云简"/>
        <charset val="134"/>
        <family val="0"/>
        <color rgb="FFFF0000"/>
        <sz val="10"/>
      </rPr>
      <t xml:space="preserve">8.498</t>
    </r>
    <r>
      <rPr>
        <rFont val="Noto Sans CJK SC"/>
        <family val="2"/>
        <color rgb="FFFF0000"/>
        <sz val="10"/>
      </rPr>
      <t xml:space="preserve">，</t>
    </r>
    <r>
      <rPr>
        <rFont val="汉仪青云简"/>
        <charset val="134"/>
        <family val="0"/>
        <color rgb="FFFF0000"/>
        <sz val="10"/>
      </rPr>
      <t xml:space="preserve">8.5</t>
    </r>
    <r>
      <rPr>
        <rFont val="Noto Sans CJK SC"/>
        <family val="2"/>
        <color rgb="FFFF0000"/>
        <sz val="10"/>
      </rPr>
      <t xml:space="preserve">，</t>
    </r>
    <r>
      <rPr>
        <rFont val="汉仪青云简"/>
        <charset val="134"/>
        <family val="0"/>
        <color rgb="FFFF0000"/>
        <sz val="10"/>
      </rPr>
      <t xml:space="preserve">8.496</t>
    </r>
    <r>
      <rPr>
        <rFont val="Noto Sans CJK SC"/>
        <family val="2"/>
        <color rgb="FFFF0000"/>
        <sz val="10"/>
      </rPr>
      <t xml:space="preserve">，</t>
    </r>
    <r>
      <rPr>
        <rFont val="汉仪青云简"/>
        <charset val="134"/>
        <family val="0"/>
        <color rgb="FFFF0000"/>
        <sz val="10"/>
      </rPr>
      <t xml:space="preserve">8.5</t>
    </r>
    <r>
      <rPr>
        <rFont val="Noto Sans CJK SC"/>
        <family val="2"/>
        <color rgb="FFFF0000"/>
        <sz val="10"/>
      </rPr>
      <t xml:space="preserve">，</t>
    </r>
    <r>
      <rPr>
        <rFont val="汉仪青云简"/>
        <charset val="134"/>
        <family val="0"/>
        <color rgb="FFFF0000"/>
        <sz val="10"/>
      </rPr>
      <t xml:space="preserve">8.498</t>
    </r>
    <r>
      <rPr>
        <rFont val="Noto Sans CJK SC"/>
        <family val="2"/>
        <color rgb="FFFF0000"/>
        <sz val="10"/>
      </rPr>
      <t xml:space="preserve">，</t>
    </r>
    <r>
      <rPr>
        <rFont val="汉仪青云简"/>
        <charset val="134"/>
        <family val="0"/>
        <color rgb="FFFF0000"/>
        <sz val="10"/>
      </rPr>
      <t xml:space="preserve">8.488</t>
    </r>
    <r>
      <rPr>
        <rFont val="Noto Sans CJK SC"/>
        <family val="2"/>
        <color rgb="FFFF0000"/>
        <sz val="10"/>
      </rPr>
      <t xml:space="preserve">；外模板：</t>
    </r>
    <r>
      <rPr>
        <rFont val="汉仪青云简"/>
        <charset val="134"/>
        <family val="0"/>
        <color rgb="FFFF0000"/>
        <sz val="10"/>
      </rPr>
      <t xml:space="preserve">15.01</t>
    </r>
    <r>
      <rPr>
        <rFont val="Noto Sans CJK SC"/>
        <family val="2"/>
        <color rgb="FFFF0000"/>
        <sz val="10"/>
      </rPr>
      <t xml:space="preserve">，</t>
    </r>
    <r>
      <rPr>
        <rFont val="汉仪青云简"/>
        <charset val="134"/>
        <family val="0"/>
        <color rgb="FFFF0000"/>
        <sz val="10"/>
      </rPr>
      <t xml:space="preserve">15.007</t>
    </r>
    <r>
      <rPr>
        <rFont val="Noto Sans CJK SC"/>
        <family val="2"/>
        <color rgb="FFFF0000"/>
        <sz val="10"/>
      </rPr>
      <t xml:space="preserve">，</t>
    </r>
    <r>
      <rPr>
        <rFont val="汉仪青云简"/>
        <charset val="134"/>
        <family val="0"/>
        <color rgb="FFFF0000"/>
        <sz val="10"/>
      </rPr>
      <t xml:space="preserve">15.007</t>
    </r>
    <r>
      <rPr>
        <rFont val="Noto Sans CJK SC"/>
        <family val="2"/>
        <color rgb="FFFF0000"/>
        <sz val="10"/>
      </rPr>
      <t xml:space="preserve">，</t>
    </r>
    <r>
      <rPr>
        <rFont val="汉仪青云简"/>
        <charset val="134"/>
        <family val="0"/>
        <color rgb="FFFF0000"/>
        <sz val="10"/>
      </rPr>
      <t xml:space="preserve">15.01</t>
    </r>
    <r>
      <rPr>
        <rFont val="Noto Sans CJK SC"/>
        <family val="2"/>
        <color rgb="FFFF0000"/>
        <sz val="10"/>
      </rPr>
      <t xml:space="preserve">，</t>
    </r>
    <r>
      <rPr>
        <rFont val="汉仪青云简"/>
        <charset val="134"/>
        <family val="0"/>
        <color rgb="FFFF0000"/>
        <sz val="10"/>
      </rPr>
      <t xml:space="preserve">15.002</t>
    </r>
    <r>
      <rPr>
        <rFont val="Noto Sans CJK SC"/>
        <family val="2"/>
        <color rgb="FFFF0000"/>
        <sz val="10"/>
      </rPr>
      <t xml:space="preserve">，</t>
    </r>
    <r>
      <rPr>
        <rFont val="汉仪青云简"/>
        <charset val="134"/>
        <family val="0"/>
        <color rgb="FFFF0000"/>
        <sz val="10"/>
      </rPr>
      <t xml:space="preserve">15.003</t>
    </r>
    <r>
      <rPr>
        <rFont val="Noto Sans CJK SC"/>
        <family val="2"/>
        <color rgb="FFFF0000"/>
        <sz val="10"/>
      </rPr>
      <t xml:space="preserve">，</t>
    </r>
    <r>
      <rPr>
        <rFont val="汉仪青云简"/>
        <charset val="134"/>
        <family val="0"/>
        <color rgb="FFFF0000"/>
        <sz val="10"/>
      </rPr>
      <t xml:space="preserve">15.009</t>
    </r>
    <r>
      <rPr>
        <rFont val="Noto Sans CJK SC"/>
        <family val="2"/>
        <color rgb="FFFF0000"/>
        <sz val="10"/>
      </rPr>
      <t xml:space="preserve">，</t>
    </r>
    <r>
      <rPr>
        <rFont val="汉仪青云简"/>
        <charset val="134"/>
        <family val="0"/>
        <color rgb="FFFF0000"/>
        <sz val="10"/>
      </rPr>
      <t xml:space="preserve">15.009</t>
    </r>
    <r>
      <rPr>
        <rFont val="Noto Sans CJK SC"/>
        <family val="2"/>
        <color rgb="FFFF0000"/>
        <sz val="10"/>
      </rPr>
      <t xml:space="preserve">，</t>
    </r>
    <r>
      <rPr>
        <rFont val="汉仪青云简"/>
        <charset val="134"/>
        <family val="0"/>
        <color rgb="FFFF0000"/>
        <sz val="10"/>
      </rPr>
      <t xml:space="preserve">15.01</t>
    </r>
    <r>
      <rPr>
        <rFont val="Noto Sans CJK SC"/>
        <family val="2"/>
        <color rgb="FFFF0000"/>
        <sz val="10"/>
      </rPr>
      <t xml:space="preserve">，</t>
    </r>
    <r>
      <rPr>
        <rFont val="汉仪青云简"/>
        <charset val="134"/>
        <family val="0"/>
        <color rgb="FFFF0000"/>
        <sz val="10"/>
      </rPr>
      <t xml:space="preserve">15.01</t>
    </r>
  </si>
  <si>
    <t xml:space="preserve">隐蔽内面</t>
  </si>
  <si>
    <r>
      <rPr>
        <rFont val="Noto Sans CJK SC"/>
        <family val="2"/>
        <sz val="9"/>
      </rPr>
      <t xml:space="preserve">允许偏差</t>
    </r>
    <r>
      <rPr>
        <rFont val="宋体"/>
        <charset val="134"/>
        <family val="0"/>
        <sz val="9"/>
      </rPr>
      <t xml:space="preserve">15mm</t>
    </r>
  </si>
  <si>
    <t xml:space="preserve">预留孔、洞尺寸及位置</t>
  </si>
  <si>
    <t xml:space="preserve">孔、洞尺寸</t>
  </si>
  <si>
    <r>
      <rPr>
        <rFont val="Noto Sans CJK SC"/>
        <family val="2"/>
        <sz val="9"/>
      </rPr>
      <t xml:space="preserve">允许偏差</t>
    </r>
    <r>
      <rPr>
        <rFont val="宋体"/>
        <charset val="134"/>
        <family val="0"/>
        <sz val="9"/>
      </rPr>
      <t xml:space="preserve">0 - +10mm</t>
    </r>
  </si>
  <si>
    <r>
      <rPr>
        <rFont val="Noto Sans CJK SC"/>
        <family val="2"/>
        <color rgb="FFFF0000"/>
        <sz val="10"/>
      </rPr>
      <t xml:space="preserve">设计值：</t>
    </r>
    <r>
      <rPr>
        <rFont val="汉仪青云简"/>
        <charset val="134"/>
        <family val="0"/>
        <color rgb="FFFF0000"/>
        <sz val="10"/>
      </rPr>
      <t xml:space="preserve">1.0m×1.2m</t>
    </r>
    <r>
      <rPr>
        <rFont val="Noto Sans CJK SC"/>
        <family val="2"/>
        <color rgb="FFFF0000"/>
        <sz val="10"/>
      </rPr>
      <t xml:space="preserve">，实测值：
</t>
    </r>
    <r>
      <rPr>
        <rFont val="汉仪青云简"/>
        <charset val="134"/>
        <family val="0"/>
        <color rgb="FFFF0000"/>
        <sz val="10"/>
      </rPr>
      <t xml:space="preserve">1.007×1.200</t>
    </r>
    <r>
      <rPr>
        <rFont val="Noto Sans CJK SC"/>
        <family val="2"/>
        <color rgb="FFFF0000"/>
        <sz val="10"/>
      </rPr>
      <t xml:space="preserve">，</t>
    </r>
    <r>
      <rPr>
        <rFont val="汉仪青云简"/>
        <charset val="134"/>
        <family val="0"/>
        <color rgb="FFFF0000"/>
        <sz val="10"/>
      </rPr>
      <t xml:space="preserve">1.009×1.206</t>
    </r>
    <r>
      <rPr>
        <rFont val="Noto Sans CJK SC"/>
        <family val="2"/>
        <color rgb="FFFF0000"/>
        <sz val="10"/>
      </rPr>
      <t xml:space="preserve">，
</t>
    </r>
    <r>
      <rPr>
        <rFont val="汉仪青云简"/>
        <charset val="134"/>
        <family val="0"/>
        <color rgb="FFFF0000"/>
        <sz val="10"/>
      </rPr>
      <t xml:space="preserve">1.008×1.206</t>
    </r>
    <r>
      <rPr>
        <rFont val="Noto Sans CJK SC"/>
        <family val="2"/>
        <color rgb="FFFF0000"/>
        <sz val="10"/>
      </rPr>
      <t xml:space="preserve">，</t>
    </r>
    <r>
      <rPr>
        <rFont val="汉仪青云简"/>
        <charset val="134"/>
        <family val="0"/>
        <color rgb="FFFF0000"/>
        <sz val="10"/>
      </rPr>
      <t xml:space="preserve">1.006×1.201</t>
    </r>
  </si>
  <si>
    <t xml:space="preserve">孔洞位置</t>
  </si>
  <si>
    <r>
      <rPr>
        <rFont val="Noto Sans CJK SC"/>
        <family val="2"/>
        <color rgb="FFFF0000"/>
        <sz val="10"/>
      </rPr>
      <t xml:space="preserve">设计（</t>
    </r>
    <r>
      <rPr>
        <rFont val="汉仪青云简"/>
        <charset val="134"/>
        <family val="0"/>
        <color rgb="FFFF0000"/>
        <sz val="10"/>
      </rPr>
      <t xml:space="preserve">m</t>
    </r>
    <r>
      <rPr>
        <rFont val="Noto Sans CJK SC"/>
        <family val="2"/>
        <color rgb="FFFF0000"/>
        <sz val="10"/>
      </rPr>
      <t xml:space="preserve">）坝纵：</t>
    </r>
    <r>
      <rPr>
        <rFont val="汉仪青云简"/>
        <charset val="134"/>
        <family val="0"/>
        <color rgb="FFFF0000"/>
        <sz val="10"/>
      </rPr>
      <t xml:space="preserve">0+61.7</t>
    </r>
    <r>
      <rPr>
        <rFont val="Noto Sans CJK SC"/>
        <family val="2"/>
        <color rgb="FFFF0000"/>
        <sz val="10"/>
      </rPr>
      <t xml:space="preserve">，坝横：</t>
    </r>
    <r>
      <rPr>
        <rFont val="汉仪青云简"/>
        <charset val="134"/>
        <family val="0"/>
        <color rgb="FFFF0000"/>
        <sz val="10"/>
      </rPr>
      <t xml:space="preserve">0+11.3</t>
    </r>
    <r>
      <rPr>
        <rFont val="Noto Sans CJK SC"/>
        <family val="2"/>
        <color rgb="FFFF0000"/>
        <sz val="10"/>
      </rPr>
      <t xml:space="preserve">；实测（</t>
    </r>
    <r>
      <rPr>
        <rFont val="汉仪青云简"/>
        <charset val="134"/>
        <family val="0"/>
        <color rgb="FFFF0000"/>
        <sz val="10"/>
      </rPr>
      <t xml:space="preserve">m</t>
    </r>
    <r>
      <rPr>
        <rFont val="Noto Sans CJK SC"/>
        <family val="2"/>
        <color rgb="FFFF0000"/>
        <sz val="10"/>
      </rPr>
      <t xml:space="preserve">）坝纵：</t>
    </r>
    <r>
      <rPr>
        <rFont val="汉仪青云简"/>
        <charset val="134"/>
        <family val="0"/>
        <color rgb="FFFF0000"/>
        <sz val="10"/>
      </rPr>
      <t xml:space="preserve">0+61.707</t>
    </r>
    <r>
      <rPr>
        <rFont val="Noto Sans CJK SC"/>
        <family val="2"/>
        <color rgb="FFFF0000"/>
        <sz val="10"/>
      </rPr>
      <t xml:space="preserve">，坝横：</t>
    </r>
    <r>
      <rPr>
        <rFont val="汉仪青云简"/>
        <charset val="134"/>
        <family val="0"/>
        <color rgb="FFFF0000"/>
        <sz val="10"/>
      </rPr>
      <t xml:space="preserve">0+11.305</t>
    </r>
  </si>
  <si>
    <t xml:space="preserve">一般项目</t>
  </si>
  <si>
    <t xml:space="preserve">模板平整度、相邻两板面错台</t>
  </si>
  <si>
    <r>
      <rPr>
        <rFont val="Noto Sans CJK SC"/>
        <family val="2"/>
        <sz val="9"/>
      </rPr>
      <t xml:space="preserve">钢模：允许偏差</t>
    </r>
    <r>
      <rPr>
        <rFont val="宋体"/>
        <charset val="134"/>
        <family val="0"/>
        <sz val="9"/>
      </rPr>
      <t xml:space="preserve">2mm               </t>
    </r>
    <r>
      <rPr>
        <rFont val="Noto Sans CJK SC"/>
        <family val="2"/>
        <sz val="9"/>
      </rPr>
      <t xml:space="preserve">木模：允许偏差</t>
    </r>
    <r>
      <rPr>
        <rFont val="宋体"/>
        <charset val="134"/>
        <family val="0"/>
        <sz val="9"/>
      </rPr>
      <t xml:space="preserve">3mm</t>
    </r>
  </si>
  <si>
    <t xml:space="preserve">1.6,0.5,0.4,1.9,1.5,0.9,0.6,0.2,1.7,1.3,0.9,0.6,0.2,1.7,1.3,0.5,0.4,1.9,1.5,0.9</t>
  </si>
  <si>
    <r>
      <rPr>
        <rFont val="Noto Sans CJK SC"/>
        <family val="2"/>
        <sz val="9"/>
      </rPr>
      <t xml:space="preserve">允许偏差</t>
    </r>
    <r>
      <rPr>
        <rFont val="宋体"/>
        <charset val="134"/>
        <family val="0"/>
        <sz val="9"/>
      </rPr>
      <t xml:space="preserve">5mm</t>
    </r>
  </si>
  <si>
    <t xml:space="preserve">局部平整度</t>
  </si>
  <si>
    <r>
      <rPr>
        <rFont val="Noto Sans CJK SC"/>
        <family val="2"/>
        <sz val="9"/>
      </rPr>
      <t xml:space="preserve">钢模：允许偏差</t>
    </r>
    <r>
      <rPr>
        <rFont val="宋体"/>
        <charset val="134"/>
        <family val="0"/>
        <sz val="9"/>
      </rPr>
      <t xml:space="preserve">3mm              </t>
    </r>
    <r>
      <rPr>
        <rFont val="Noto Sans CJK SC"/>
        <family val="2"/>
        <sz val="9"/>
      </rPr>
      <t xml:space="preserve">木模：允许偏差</t>
    </r>
    <r>
      <rPr>
        <rFont val="宋体"/>
        <charset val="134"/>
        <family val="0"/>
        <sz val="9"/>
      </rPr>
      <t xml:space="preserve">5mm</t>
    </r>
  </si>
  <si>
    <t xml:space="preserve">1.5,2.2,1.9,1.5,1,0.8,0.3,2.8,1.9,3.1，1.5,2.2,3.9,1.5,1,0.8,0.3,2.8,1.9,1.1，1.5,3.2,1.9,1.5,1,0.8,0.3,2.8,1.9,3.1</t>
  </si>
  <si>
    <r>
      <rPr>
        <rFont val="Noto Sans CJK SC"/>
        <family val="2"/>
        <sz val="9"/>
      </rPr>
      <t xml:space="preserve">允许偏差</t>
    </r>
    <r>
      <rPr>
        <rFont val="宋体"/>
        <charset val="134"/>
        <family val="0"/>
        <sz val="9"/>
      </rPr>
      <t xml:space="preserve">10mm</t>
    </r>
  </si>
  <si>
    <t xml:space="preserve">板面缝隙</t>
  </si>
  <si>
    <r>
      <rPr>
        <rFont val="Noto Sans CJK SC"/>
        <family val="2"/>
        <sz val="9"/>
      </rPr>
      <t xml:space="preserve">钢模：允许偏差</t>
    </r>
    <r>
      <rPr>
        <rFont val="宋体"/>
        <charset val="134"/>
        <family val="0"/>
        <sz val="9"/>
      </rPr>
      <t xml:space="preserve">1mm              </t>
    </r>
    <r>
      <rPr>
        <rFont val="Noto Sans CJK SC"/>
        <family val="2"/>
        <sz val="9"/>
      </rPr>
      <t xml:space="preserve">木模：允许偏差</t>
    </r>
    <r>
      <rPr>
        <rFont val="宋体"/>
        <charset val="134"/>
        <family val="0"/>
        <sz val="9"/>
      </rPr>
      <t xml:space="preserve">2mm</t>
    </r>
  </si>
  <si>
    <t xml:space="preserve">0.4,0.7,0.6,0.5,1.2,0.2,0.5,0.3,1.1,0.8</t>
  </si>
  <si>
    <r>
      <rPr>
        <rFont val="Noto Sans CJK SC"/>
        <family val="2"/>
        <sz val="9"/>
      </rPr>
      <t xml:space="preserve">允许偏差</t>
    </r>
    <r>
      <rPr>
        <rFont val="宋体"/>
        <charset val="134"/>
        <family val="0"/>
        <sz val="9"/>
      </rPr>
      <t xml:space="preserve">2mm</t>
    </r>
  </si>
  <si>
    <t xml:space="preserve">结构物水平断面内部尺寸</t>
  </si>
  <si>
    <r>
      <rPr>
        <rFont val="Noto Sans CJK SC"/>
        <family val="2"/>
        <sz val="9"/>
      </rPr>
      <t xml:space="preserve">允许偏差</t>
    </r>
    <r>
      <rPr>
        <rFont val="宋体"/>
        <charset val="134"/>
        <family val="0"/>
        <sz val="9"/>
      </rPr>
      <t xml:space="preserve">±20mm</t>
    </r>
  </si>
  <si>
    <r>
      <rPr>
        <rFont val="Noto Sans CJK SC"/>
        <family val="2"/>
        <color rgb="FFFF0000"/>
        <sz val="10"/>
      </rPr>
      <t xml:space="preserve">设计值：</t>
    </r>
    <r>
      <rPr>
        <rFont val="汉仪青云简"/>
        <charset val="134"/>
        <family val="0"/>
        <color rgb="FFFF0000"/>
        <sz val="10"/>
      </rPr>
      <t xml:space="preserve">17×30m</t>
    </r>
    <r>
      <rPr>
        <rFont val="Noto Sans CJK SC"/>
        <family val="2"/>
        <color rgb="FFFF0000"/>
        <sz val="10"/>
      </rPr>
      <t xml:space="preserve">，实测值：
</t>
    </r>
    <r>
      <rPr>
        <rFont val="汉仪青云简"/>
        <charset val="134"/>
        <family val="0"/>
        <color rgb="FFFF0000"/>
        <sz val="10"/>
      </rPr>
      <t xml:space="preserve">16.98×29.99</t>
    </r>
    <r>
      <rPr>
        <rFont val="Noto Sans CJK SC"/>
        <family val="2"/>
        <color rgb="FFFF0000"/>
        <sz val="10"/>
      </rPr>
      <t xml:space="preserve">，</t>
    </r>
    <r>
      <rPr>
        <rFont val="汉仪青云简"/>
        <charset val="134"/>
        <family val="0"/>
        <color rgb="FFFF0000"/>
        <sz val="10"/>
      </rPr>
      <t xml:space="preserve">16.99×30.01</t>
    </r>
    <r>
      <rPr>
        <rFont val="Noto Sans CJK SC"/>
        <family val="2"/>
        <color rgb="FFFF0000"/>
        <sz val="10"/>
      </rPr>
      <t xml:space="preserve">，
</t>
    </r>
    <r>
      <rPr>
        <rFont val="汉仪青云简"/>
        <charset val="134"/>
        <family val="0"/>
        <color rgb="FFFF0000"/>
        <sz val="10"/>
      </rPr>
      <t xml:space="preserve">17.01×29.98</t>
    </r>
    <r>
      <rPr>
        <rFont val="Noto Sans CJK SC"/>
        <family val="2"/>
        <color rgb="FFFF0000"/>
        <sz val="10"/>
      </rPr>
      <t xml:space="preserve">，</t>
    </r>
    <r>
      <rPr>
        <rFont val="汉仪青云简"/>
        <charset val="134"/>
        <family val="0"/>
        <color rgb="FFFF0000"/>
        <sz val="10"/>
      </rPr>
      <t xml:space="preserve">17.01×29.98</t>
    </r>
    <r>
      <rPr>
        <rFont val="Noto Sans CJK SC"/>
        <family val="2"/>
        <color rgb="FFFF0000"/>
        <sz val="10"/>
      </rPr>
      <t xml:space="preserve">，
</t>
    </r>
    <r>
      <rPr>
        <rFont val="汉仪青云简"/>
        <charset val="134"/>
        <family val="0"/>
        <color rgb="FFFF0000"/>
        <sz val="10"/>
      </rPr>
      <t xml:space="preserve">17.02×30.01</t>
    </r>
    <r>
      <rPr>
        <rFont val="Noto Sans CJK SC"/>
        <family val="2"/>
        <color rgb="FFFF0000"/>
        <sz val="10"/>
      </rPr>
      <t xml:space="preserve">，</t>
    </r>
    <r>
      <rPr>
        <rFont val="汉仪青云简"/>
        <charset val="134"/>
        <family val="0"/>
        <color rgb="FFFF0000"/>
        <sz val="10"/>
      </rPr>
      <t xml:space="preserve">17.01×29.99</t>
    </r>
    <r>
      <rPr>
        <rFont val="Noto Sans CJK SC"/>
        <family val="2"/>
        <color rgb="FFFF0000"/>
        <sz val="10"/>
      </rPr>
      <t xml:space="preserve">，
</t>
    </r>
    <r>
      <rPr>
        <rFont val="汉仪青云简"/>
        <charset val="134"/>
        <family val="0"/>
        <color rgb="FFFF0000"/>
        <sz val="10"/>
      </rPr>
      <t xml:space="preserve">17.02×30.00</t>
    </r>
    <r>
      <rPr>
        <rFont val="Noto Sans CJK SC"/>
        <family val="2"/>
        <color rgb="FFFF0000"/>
        <sz val="10"/>
      </rPr>
      <t xml:space="preserve">，</t>
    </r>
    <r>
      <rPr>
        <rFont val="汉仪青云简"/>
        <charset val="134"/>
        <family val="0"/>
        <color rgb="FFFF0000"/>
        <sz val="10"/>
      </rPr>
      <t xml:space="preserve">17.03×30.01</t>
    </r>
    <r>
      <rPr>
        <rFont val="Noto Sans CJK SC"/>
        <family val="2"/>
        <color rgb="FFFF0000"/>
        <sz val="10"/>
      </rPr>
      <t xml:space="preserve">，
</t>
    </r>
    <r>
      <rPr>
        <rFont val="汉仪青云简"/>
        <charset val="134"/>
        <family val="0"/>
        <color rgb="FFFF0000"/>
        <sz val="10"/>
      </rPr>
      <t xml:space="preserve">17.02×30.01</t>
    </r>
    <r>
      <rPr>
        <rFont val="Noto Sans CJK SC"/>
        <family val="2"/>
        <color rgb="FFFF0000"/>
        <sz val="10"/>
      </rPr>
      <t xml:space="preserve">，</t>
    </r>
    <r>
      <rPr>
        <rFont val="汉仪青云简"/>
        <charset val="134"/>
        <family val="0"/>
        <color rgb="FFFF0000"/>
        <sz val="10"/>
      </rPr>
      <t xml:space="preserve">17.01×30.03</t>
    </r>
  </si>
  <si>
    <t xml:space="preserve">脱模剂涂刷</t>
  </si>
  <si>
    <t xml:space="preserve">产品质量符合标准要求，涂刷均匀，无明显色差</t>
  </si>
  <si>
    <t xml:space="preserve">脱模剂符合质量标准，涂刷均匀，无漏涂，无明显色差，经检查结果基本符合质量要求。</t>
  </si>
  <si>
    <t xml:space="preserve">模板外观</t>
  </si>
  <si>
    <t xml:space="preserve">表面光洁、无污物</t>
  </si>
  <si>
    <t xml:space="preserve">表面光洁，个别点有污物已清除，经检查结果基本符合质量要求。</t>
  </si>
  <si>
    <t xml:space="preserve">施工
单位
自评
意见</t>
  </si>
  <si>
    <r>
      <rPr>
        <rFont val="Noto Sans CJK SC"/>
        <family val="2"/>
        <sz val="9"/>
      </rPr>
      <t xml:space="preserve">    主控项目检验点全部合格，一般项目逐项检验点的合格率均不小于</t>
    </r>
    <r>
      <rPr>
        <rFont val="宋体"/>
        <charset val="134"/>
        <family val="3"/>
        <sz val="9"/>
      </rPr>
      <t xml:space="preserve">___</t>
    </r>
    <r>
      <rPr>
        <rFont val="宋体"/>
        <charset val="134"/>
        <family val="3"/>
        <color rgb="FFFF0000"/>
        <sz val="9"/>
        <u val="single"/>
      </rPr>
      <t xml:space="preserve">70</t>
    </r>
    <r>
      <rPr>
        <rFont val="宋体"/>
        <charset val="134"/>
        <family val="3"/>
        <sz val="9"/>
      </rPr>
      <t xml:space="preserve">__%</t>
    </r>
    <r>
      <rPr>
        <rFont val="Noto Sans CJK SC"/>
        <family val="2"/>
        <sz val="9"/>
      </rPr>
      <t xml:space="preserve">，且不合格点不集中分布，各项报验资料</t>
    </r>
    <r>
      <rPr>
        <rFont val="宋体"/>
        <charset val="134"/>
        <family val="3"/>
        <sz val="9"/>
      </rPr>
      <t xml:space="preserve">___</t>
    </r>
    <r>
      <rPr>
        <rFont val="Noto Sans CJK SC"/>
        <family val="2"/>
        <color rgb="FFFF0000"/>
        <sz val="9"/>
        <u val="single"/>
      </rPr>
      <t xml:space="preserve">符合</t>
    </r>
    <r>
      <rPr>
        <rFont val="宋体"/>
        <charset val="134"/>
        <family val="3"/>
        <sz val="9"/>
      </rPr>
      <t xml:space="preserve">__SL 632—2012</t>
    </r>
    <r>
      <rPr>
        <rFont val="Noto Sans CJK SC"/>
        <family val="2"/>
        <sz val="9"/>
      </rPr>
      <t xml:space="preserve">的要求。</t>
    </r>
  </si>
  <si>
    <t xml:space="preserve">    工序质量等级评定为：</t>
  </si>
  <si>
    <t xml:space="preserve">（签字，加盖公章）</t>
  </si>
  <si>
    <t xml:space="preserve">   年   月   日</t>
  </si>
  <si>
    <t xml:space="preserve">监理
单位
复核
意见</t>
  </si>
  <si>
    <r>
      <rPr>
        <rFont val="Noto Sans CJK SC"/>
        <family val="2"/>
        <sz val="9"/>
      </rPr>
      <t xml:space="preserve">    经复核，主控项目检验点全部合格，一般项目逐项检验点的合格率均不小于</t>
    </r>
    <r>
      <rPr>
        <rFont val="宋体"/>
        <charset val="134"/>
        <family val="0"/>
        <sz val="9"/>
      </rPr>
      <t xml:space="preserve">_____%</t>
    </r>
    <r>
      <rPr>
        <rFont val="Noto Sans CJK SC"/>
        <family val="2"/>
        <sz val="9"/>
      </rPr>
      <t xml:space="preserve">，且不合格点不集中分布，各项报验资料</t>
    </r>
    <r>
      <rPr>
        <rFont val="宋体"/>
        <charset val="134"/>
        <family val="0"/>
        <sz val="9"/>
      </rPr>
      <t xml:space="preserve">_____SL 632—2012</t>
    </r>
    <r>
      <rPr>
        <rFont val="Noto Sans CJK SC"/>
        <family val="2"/>
        <sz val="9"/>
      </rPr>
      <t xml:space="preserve">的要求。</t>
    </r>
  </si>
  <si>
    <r>
      <rPr>
        <rFont val="Noto Sans CJK SC"/>
        <family val="2"/>
        <b/>
        <color rgb="FF000000"/>
        <sz val="14"/>
      </rPr>
      <t xml:space="preserve">表</t>
    </r>
    <r>
      <rPr>
        <rFont val="Cambria"/>
        <charset val="1"/>
        <family val="1"/>
        <b/>
        <color rgb="FF000000"/>
        <sz val="14"/>
      </rPr>
      <t xml:space="preserve">1.1.1                          </t>
    </r>
    <r>
      <rPr>
        <rFont val="Noto Sans CJK SC"/>
        <family val="2"/>
        <b/>
        <color rgb="FF000000"/>
        <sz val="14"/>
      </rPr>
      <t xml:space="preserve">表土及土质岸坡清理工序施工质量验收评定表</t>
    </r>
    <r>
      <rPr>
        <rFont val="Noto Sans CJK SC"/>
        <family val="2"/>
        <b/>
        <color rgb="FFFF0000"/>
        <sz val="11"/>
      </rPr>
      <t xml:space="preserve">（未找到对应设计值）</t>
    </r>
  </si>
  <si>
    <t xml:space="preserve">均质土坝工程</t>
  </si>
  <si>
    <t xml:space="preserve">坝基开挖与处理</t>
  </si>
  <si>
    <r>
      <rPr>
        <rFont val="Noto Sans CJK SC"/>
        <family val="2"/>
        <color rgb="FFFF0000"/>
        <sz val="9"/>
      </rPr>
      <t xml:space="preserve">土方开挖</t>
    </r>
    <r>
      <rPr>
        <rFont val="汉仪青云简"/>
        <charset val="134"/>
        <family val="0"/>
        <color rgb="FFFF0000"/>
        <sz val="9"/>
      </rPr>
      <t xml:space="preserve">  </t>
    </r>
    <r>
      <rPr>
        <rFont val="Noto Sans CJK SC"/>
        <family val="2"/>
        <color rgb="FFFF0000"/>
        <sz val="9"/>
      </rPr>
      <t xml:space="preserve">桩号：</t>
    </r>
    <r>
      <rPr>
        <rFont val="汉仪青云简"/>
        <charset val="134"/>
        <family val="0"/>
        <color rgb="FFFF0000"/>
        <sz val="9"/>
      </rPr>
      <t xml:space="preserve">0+100</t>
    </r>
    <r>
      <rPr>
        <rFont val="Noto Sans CJK SC"/>
        <family val="2"/>
        <color rgb="FFFF0000"/>
        <sz val="9"/>
      </rPr>
      <t xml:space="preserve">～</t>
    </r>
    <r>
      <rPr>
        <rFont val="汉仪青云简"/>
        <charset val="134"/>
        <family val="0"/>
        <color rgb="FFFF0000"/>
        <sz val="9"/>
      </rPr>
      <t xml:space="preserve">0+150  </t>
    </r>
    <r>
      <rPr>
        <rFont val="宋体"/>
        <charset val="134"/>
        <family val="3"/>
        <color rgb="FFFF0000"/>
        <sz val="9"/>
      </rPr>
      <t xml:space="preserve">▽</t>
    </r>
    <r>
      <rPr>
        <rFont val="汉仪青云简"/>
        <charset val="134"/>
        <family val="0"/>
        <color rgb="FFFF0000"/>
        <sz val="9"/>
      </rPr>
      <t xml:space="preserve">55.300m</t>
    </r>
  </si>
  <si>
    <t xml:space="preserve">    年   月   日～    年   月   日</t>
  </si>
  <si>
    <t xml:space="preserve">表土清理</t>
  </si>
  <si>
    <t xml:space="preserve">树木、草皮、树根、乱石、坟墓以及各种建筑物全部清除；水井、泉眼、地道、坑窖等洞穴的处理符合设计要求</t>
  </si>
  <si>
    <t xml:space="preserve">树木、草皮、树根已经清除，无坟墓、水井、泉眼等，检查结果完全符合质量要求。</t>
  </si>
  <si>
    <t xml:space="preserve">不良土质的处理</t>
  </si>
  <si>
    <t xml:space="preserve">淤泥、腐殖质土、泥炭土全部清除；对风化岩石、坡积物、残积物、滑坡体、粉土、细砂等处理符合设计要求</t>
  </si>
  <si>
    <t xml:space="preserve">淤泥、腐殖质土、泥炭土全部清除，无其他不良土质，检查结果完全符合质量要求。</t>
  </si>
  <si>
    <t xml:space="preserve">地质坑、孔处理</t>
  </si>
  <si>
    <t xml:space="preserve">构筑物基础区范围内的地质探孔、竖井、试坑的处理符合设计要求；回填材料质量满足设计要求</t>
  </si>
  <si>
    <r>
      <rPr>
        <rFont val="Noto Sans CJK SC"/>
        <family val="2"/>
        <sz val="9"/>
      </rPr>
      <t xml:space="preserve">地质探孔在桩号</t>
    </r>
    <r>
      <rPr>
        <rFont val="宋体"/>
        <charset val="134"/>
        <family val="0"/>
        <sz val="9"/>
      </rPr>
      <t xml:space="preserve">0+120</t>
    </r>
    <r>
      <rPr>
        <rFont val="Noto Sans CJK SC"/>
        <family val="2"/>
        <sz val="9"/>
      </rPr>
      <t xml:space="preserve">处，孔直径</t>
    </r>
    <r>
      <rPr>
        <rFont val="宋体"/>
        <charset val="134"/>
        <family val="0"/>
        <sz val="9"/>
      </rPr>
      <t xml:space="preserve">2m</t>
    </r>
    <r>
      <rPr>
        <rFont val="Noto Sans CJK SC"/>
        <family val="2"/>
        <sz val="9"/>
      </rPr>
      <t xml:space="preserve">，采用回填灌浆处理，检查结果完全符合质量要求。</t>
    </r>
  </si>
  <si>
    <t xml:space="preserve">清理范围</t>
  </si>
  <si>
    <t xml:space="preserve">人工清理</t>
  </si>
  <si>
    <r>
      <rPr>
        <rFont val="Noto Sans CJK SC"/>
        <family val="2"/>
        <sz val="9"/>
      </rPr>
      <t xml:space="preserve">满足设计要求。长、宽边线允许偏差</t>
    </r>
    <r>
      <rPr>
        <rFont val="宋体"/>
        <charset val="134"/>
        <family val="0"/>
        <sz val="9"/>
      </rPr>
      <t xml:space="preserve">0~50cm</t>
    </r>
  </si>
  <si>
    <t xml:space="preserve">机械清理</t>
  </si>
  <si>
    <r>
      <rPr>
        <rFont val="Noto Sans CJK SC"/>
        <family val="2"/>
        <sz val="9"/>
      </rPr>
      <t xml:space="preserve">满足设计要求，长、宽边线允许偏差</t>
    </r>
    <r>
      <rPr>
        <rFont val="宋体"/>
        <charset val="134"/>
        <family val="0"/>
        <sz val="9"/>
      </rPr>
      <t xml:space="preserve">0~100cm</t>
    </r>
  </si>
  <si>
    <r>
      <rPr>
        <rFont val="Noto Sans CJK SC"/>
        <family val="2"/>
        <color rgb="FFFF0000"/>
        <sz val="9"/>
      </rPr>
      <t xml:space="preserve">从设计中心测量，清理长度：</t>
    </r>
    <r>
      <rPr>
        <rFont val="汉仪青云简"/>
        <charset val="134"/>
        <family val="0"/>
        <color rgb="FFFF0000"/>
        <sz val="9"/>
      </rPr>
      <t xml:space="preserve">25m</t>
    </r>
    <r>
      <rPr>
        <rFont val="Noto Sans CJK SC"/>
        <family val="2"/>
        <color rgb="FFFF0000"/>
        <sz val="9"/>
      </rPr>
      <t xml:space="preserve">，宽度：</t>
    </r>
    <r>
      <rPr>
        <rFont val="汉仪青云简"/>
        <charset val="134"/>
        <family val="0"/>
        <color rgb="FFFF0000"/>
        <sz val="9"/>
      </rPr>
      <t xml:space="preserve">15m</t>
    </r>
    <r>
      <rPr>
        <rFont val="Noto Sans CJK SC"/>
        <family val="2"/>
        <color rgb="FFFF0000"/>
        <sz val="9"/>
      </rPr>
      <t xml:space="preserve">，实测结果为：
长度：</t>
    </r>
    <r>
      <rPr>
        <rFont val="宋体"/>
        <charset val="134"/>
        <family val="3"/>
        <color rgb="FFFF0000"/>
        <sz val="9"/>
      </rPr>
      <t xml:space="preserve">@float.2&lt;25,26&gt;,@float.2&lt;25,26&gt;,@float.2&lt;25,26&gt;,@float.2&lt;25,26&gt;,@float.2&lt;25,26&gt;,@float.2&lt;25,26&gt;,@float.2&lt;25,26&gt;,@float.2&lt;25,26&gt;,@float.2&lt;25,26&gt;,@float.2&lt;25,26&gt;
</t>
    </r>
    <r>
      <rPr>
        <rFont val="Noto Sans CJK SC"/>
        <family val="2"/>
        <color rgb="FFFF0000"/>
        <sz val="9"/>
      </rPr>
      <t xml:space="preserve">宽度：</t>
    </r>
    <r>
      <rPr>
        <rFont val="宋体"/>
        <charset val="134"/>
        <family val="3"/>
        <color rgb="FFFF0000"/>
        <sz val="9"/>
      </rPr>
      <t xml:space="preserve">@float.2&lt;15,16&gt;,@float.2&lt;15,16&gt;,@float.2&lt;15,16&gt;,@float.2&lt;15,16&gt;,@float.2&lt;15,16&gt;,@float.2&lt;15,16&gt;,@float.2&lt;15,16&gt;,@float.2&lt;15,16&gt;,@float.2&lt;15,16&gt;,@float.2&lt;15,16&gt;</t>
    </r>
  </si>
  <si>
    <t xml:space="preserve">土质岸边坡度</t>
  </si>
  <si>
    <r>
      <rPr>
        <rFont val="Noto Sans CJK SC"/>
        <family val="2"/>
        <sz val="9"/>
      </rPr>
      <t xml:space="preserve">不陡于设计边坡</t>
    </r>
    <r>
      <rPr>
        <rFont val="Noto Sans CJK SC"/>
        <family val="2"/>
        <b/>
        <color rgb="FFFF0000"/>
        <sz val="9"/>
      </rPr>
      <t xml:space="preserve">（</t>
    </r>
    <r>
      <rPr>
        <rFont val="宋体"/>
        <charset val="134"/>
        <family val="3"/>
        <b/>
        <color rgb="FFFF0000"/>
        <sz val="9"/>
      </rPr>
      <t xml:space="preserve">1:0.5</t>
    </r>
    <r>
      <rPr>
        <rFont val="Noto Sans CJK SC"/>
        <family val="2"/>
        <b/>
        <color rgb="FFFF0000"/>
        <sz val="9"/>
      </rPr>
      <t xml:space="preserve">）</t>
    </r>
  </si>
  <si>
    <t xml:space="preserve">1:@float.1&lt;2.0,2.5&gt;,1:@float.1&lt;2.0,2.5&gt;,1:@float.1&lt;2.0,2.5&gt;,1:@float.1&lt;2.0,2.5&gt;,1:@float.1&lt;2.0,2.5&gt;</t>
  </si>
  <si>
    <t xml:space="preserve">施工
单位
自评
意见
</t>
  </si>
  <si>
    <r>
      <rPr>
        <rFont val="Noto Sans CJK SC"/>
        <family val="2"/>
        <sz val="9"/>
      </rPr>
      <t xml:space="preserve">    主控项目检验点全部合格，一般项目逐项检验点的合格率均不小于</t>
    </r>
    <r>
      <rPr>
        <rFont val="Noto Sans CJK SC"/>
        <family val="2"/>
        <sz val="9"/>
        <u val="single"/>
      </rPr>
      <t xml:space="preserve">  </t>
    </r>
    <r>
      <rPr>
        <rFont val="宋体"/>
        <charset val="134"/>
        <family val="3"/>
        <color rgb="FFFF0000"/>
        <sz val="9"/>
        <u val="single"/>
      </rPr>
      <t xml:space="preserve">70</t>
    </r>
    <r>
      <rPr>
        <rFont val="宋体"/>
        <charset val="134"/>
        <family val="3"/>
        <sz val="9"/>
        <u val="single"/>
      </rPr>
      <t xml:space="preserve">    </t>
    </r>
    <r>
      <rPr>
        <rFont val="宋体"/>
        <charset val="134"/>
        <family val="3"/>
        <sz val="9"/>
      </rPr>
      <t xml:space="preserve">%</t>
    </r>
    <r>
      <rPr>
        <rFont val="Noto Sans CJK SC"/>
        <family val="2"/>
        <sz val="9"/>
      </rPr>
      <t xml:space="preserve">，且不合格点不集中分布。</t>
    </r>
  </si>
  <si>
    <r>
      <rPr>
        <rFont val="Noto Sans CJK SC"/>
        <family val="2"/>
        <sz val="9"/>
      </rPr>
      <t xml:space="preserve">各项报验资料</t>
    </r>
    <r>
      <rPr>
        <rFont val="Noto Sans CJK SC"/>
        <family val="2"/>
        <sz val="9"/>
        <u val="single"/>
      </rPr>
      <t xml:space="preserve">     </t>
    </r>
    <r>
      <rPr>
        <rFont val="Noto Sans CJK SC"/>
        <family val="2"/>
        <color rgb="FFFF0000"/>
        <sz val="9"/>
        <u val="single"/>
      </rPr>
      <t xml:space="preserve">符合 </t>
    </r>
    <r>
      <rPr>
        <rFont val="Noto Sans CJK SC"/>
        <family val="2"/>
        <sz val="9"/>
        <u val="single"/>
      </rPr>
      <t xml:space="preserve">   </t>
    </r>
    <r>
      <rPr>
        <rFont val="宋体"/>
        <charset val="134"/>
        <family val="3"/>
        <sz val="9"/>
      </rPr>
      <t xml:space="preserve">SL631—2012</t>
    </r>
    <r>
      <rPr>
        <rFont val="Noto Sans CJK SC"/>
        <family val="2"/>
        <sz val="9"/>
      </rPr>
      <t xml:space="preserve">的要求。</t>
    </r>
  </si>
  <si>
    <r>
      <rPr>
        <rFont val="Noto Sans CJK SC"/>
        <family val="2"/>
        <sz val="9"/>
      </rPr>
      <t xml:space="preserve">    工序质量等级评定为：</t>
    </r>
    <r>
      <rPr>
        <rFont val="Noto Sans CJK SC"/>
        <family val="2"/>
        <sz val="9"/>
        <u val="single"/>
      </rPr>
      <t xml:space="preserve">   </t>
    </r>
    <r>
      <rPr>
        <rFont val="Noto Sans CJK SC"/>
        <family val="2"/>
        <color rgb="FFFF0000"/>
        <sz val="9"/>
        <u val="single"/>
      </rPr>
      <t xml:space="preserve">合格 </t>
    </r>
    <r>
      <rPr>
        <rFont val="Noto Sans CJK SC"/>
        <family val="2"/>
        <sz val="9"/>
        <u val="single"/>
      </rPr>
      <t xml:space="preserve">     </t>
    </r>
    <r>
      <rPr>
        <rFont val="Noto Sans CJK SC"/>
        <family val="2"/>
        <sz val="9"/>
      </rPr>
      <t xml:space="preserve">。</t>
    </r>
  </si>
  <si>
    <r>
      <rPr>
        <rFont val="宋体"/>
        <charset val="134"/>
        <family val="0"/>
        <sz val="9"/>
      </rPr>
      <t xml:space="preserve">(</t>
    </r>
    <r>
      <rPr>
        <rFont val="Noto Sans CJK SC"/>
        <family val="2"/>
        <sz val="9"/>
      </rPr>
      <t xml:space="preserve">签字，加盖公章）       年   月   日</t>
    </r>
  </si>
  <si>
    <t xml:space="preserve">监理
单位
复核
意见
</t>
  </si>
  <si>
    <r>
      <rPr>
        <rFont val="Noto Sans CJK SC"/>
        <family val="2"/>
        <sz val="9"/>
      </rPr>
      <t xml:space="preserve">    经复核，主控项目检验点全部合格，一般项目逐项检验点的合格率均不小于</t>
    </r>
    <r>
      <rPr>
        <rFont val="Noto Sans CJK SC"/>
        <family val="2"/>
        <sz val="9"/>
        <u val="single"/>
      </rPr>
      <t xml:space="preserve">      </t>
    </r>
    <r>
      <rPr>
        <rFont val="宋体"/>
        <charset val="134"/>
        <family val="3"/>
        <sz val="9"/>
      </rPr>
      <t xml:space="preserve">%</t>
    </r>
    <r>
      <rPr>
        <rFont val="Noto Sans CJK SC"/>
        <family val="2"/>
        <sz val="9"/>
      </rPr>
      <t xml:space="preserve">，且不合格点不集中分布。</t>
    </r>
  </si>
  <si>
    <r>
      <rPr>
        <rFont val="Noto Sans CJK SC"/>
        <family val="2"/>
        <sz val="9"/>
      </rPr>
      <t xml:space="preserve">各项报验资料</t>
    </r>
    <r>
      <rPr>
        <rFont val="Noto Sans CJK SC"/>
        <family val="2"/>
        <sz val="9"/>
        <u val="single"/>
      </rPr>
      <t xml:space="preserve">         </t>
    </r>
    <r>
      <rPr>
        <rFont val="宋体"/>
        <charset val="134"/>
        <family val="3"/>
        <sz val="9"/>
      </rPr>
      <t xml:space="preserve">SL631—2012</t>
    </r>
    <r>
      <rPr>
        <rFont val="Noto Sans CJK SC"/>
        <family val="2"/>
        <sz val="9"/>
      </rPr>
      <t xml:space="preserve">的要求。</t>
    </r>
  </si>
  <si>
    <r>
      <rPr>
        <rFont val="Noto Sans CJK SC"/>
        <family val="2"/>
        <sz val="9"/>
      </rPr>
      <t xml:space="preserve">    工序质量等级评定为：</t>
    </r>
    <r>
      <rPr>
        <rFont val="Noto Sans CJK SC"/>
        <family val="2"/>
        <sz val="9"/>
        <u val="single"/>
      </rPr>
      <t xml:space="preserve">          </t>
    </r>
    <r>
      <rPr>
        <rFont val="Noto Sans CJK SC"/>
        <family val="2"/>
        <sz val="9"/>
      </rPr>
      <t xml:space="preserve">。</t>
    </r>
  </si>
  <si>
    <t>-5,-7,-9,0,8,-8,-8,-10,-6,-8,-10,-2,7,-8,-6,5,0,2,-1,7</t>
  </si>
  <si>
    <t>2024HD10地块-2土地平整</t>
  </si>
  <si>
    <t>从设计中心测量，清理长度：25m，宽度：15m，实测结果为：
长度：25.69,25.68,25.16,25.79,25.57,25.71,25.54,25.97,25.34,25.40
宽度：@float.2&lt;15,16&gt;,@float.2&lt;15,16&gt;,@float.2&lt;15,16&gt;,@float.2&lt;15,16&gt;,@float.2&lt;15,16&gt;,@float.2&lt;15,16&gt;,@float.2&lt;15,16&gt;,@float.2&lt;15,16&gt;,@float.2&lt;15,16&gt;,@float.2&lt;15,16&gt;</t>
  </si>
  <si>
    <t>从设计中心测量，清理长度：25m，宽度：15m，实测结果为：
长度：25.69,25.68,25.16,25.79,25.57,25.71,25.54,25.97,25.34,25.40
宽度：15.28,15.57,15.22,15.20,15.88,15.75,15.23,15.61,15.00,15.32</t>
  </si>
  <si>
    <t>1:2.5,1:2.5,1:2.3,1:2.1,1:2.1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</si>
</sst>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164" formatCode="General"/>
    <numFmt numFmtId="165" formatCode="@"/>
    <numFmt numFmtId="166" formatCode="0.00%"/>
    <numFmt numFmtId="167" formatCode="0.0_ "/>
    <numFmt numFmtId="168" formatCode="0%"/>
    <numFmt numFmtId="169" formatCode="0.00"/>
  </numFmts>
  <fonts count="38">
    <font>
      <sz val="10"/>
      <name val="Noto Sans CJK SC"/>
      <family val="2"/>
    </font>
    <font>
      <sz val="10"/>
      <name val="Arial"/>
      <family val="0"/>
    </font>
    <font>
      <sz val="10"/>
      <name val="Arial"/>
      <family val="0"/>
    </font>
    <font>
      <sz val="10"/>
      <name val="Arial"/>
      <family val="0"/>
    </font>
    <font>
      <sz val="10"/>
      <color rgb="FF000000"/>
      <name val="Noto Sans CJK SC"/>
      <family val="2"/>
    </font>
    <font>
      <sz val="17"/>
      <color rgb="FF000000"/>
      <name val="黑体"/>
      <family val="3"/>
      <charset val="134"/>
    </font>
    <font>
      <sz val="17"/>
      <name val="黑体"/>
      <family val="3"/>
      <charset val="134"/>
    </font>
    <font>
      <sz val="10"/>
      <color rgb="FF000000"/>
      <name val="宋体"/>
      <family val="3"/>
      <charset val="134"/>
    </font>
    <font>
      <sz val="10"/>
      <color rgb="FF000000"/>
      <name val="楷体"/>
      <family val="3"/>
      <charset val="134"/>
    </font>
    <font>
      <sz val="11"/>
      <color rgb="FF000000"/>
      <name val="Noto Sans CJK SC"/>
      <family val="2"/>
    </font>
    <font>
      <b val="1"/>
      <u val="single"/>
      <sz val="14"/>
      <color rgb="FFFF0000"/>
      <name val="Noto Sans CJK SC"/>
      <family val="2"/>
    </font>
    <font>
      <b val="1"/>
      <u val="single"/>
      <sz val="14"/>
      <color rgb="FFFF0000"/>
      <name val="宋体"/>
      <family val="3"/>
      <charset val="134"/>
    </font>
    <font>
      <b val="1"/>
      <sz val="14"/>
      <color rgb="FF000000"/>
      <name val="Noto Sans CJK SC"/>
      <family val="2"/>
    </font>
    <font>
      <b val="1"/>
      <sz val="14"/>
      <color rgb="FF000000"/>
      <name val="宋体"/>
      <family val="3"/>
      <charset val="134"/>
    </font>
    <font>
      <b val="1"/>
      <sz val="14"/>
      <color rgb="FFFF0000"/>
      <name val="Noto Sans CJK SC"/>
      <family val="2"/>
    </font>
    <font>
      <sz val="9"/>
      <name val="Noto Sans CJK SC"/>
      <family val="2"/>
    </font>
    <font>
      <sz val="9"/>
      <color rgb="FFFF0000"/>
      <name val="方正硬笔行书简体"/>
      <family val="0"/>
      <charset val="134"/>
    </font>
    <font>
      <sz val="9"/>
      <name val="宋体"/>
      <family val="0"/>
      <charset val="134"/>
    </font>
    <font>
      <sz val="11"/>
      <color rgb="FFFF0000"/>
      <name val="Noto Sans CJK SC"/>
      <family val="2"/>
    </font>
    <font>
      <sz val="9"/>
      <color rgb="FFFF0000"/>
      <name val="宋体"/>
      <family val="0"/>
      <charset val="134"/>
    </font>
    <font>
      <sz val="9"/>
      <name val="方正硬笔行书简体"/>
      <family val="0"/>
      <charset val="134"/>
    </font>
    <font>
      <sz val="10"/>
      <name val="汉仪青云简"/>
      <family val="0"/>
      <charset val="134"/>
    </font>
    <font>
      <sz val="10"/>
      <color rgb="FFFF0000"/>
      <name val="汉仪青云简"/>
      <family val="0"/>
      <charset val="134"/>
    </font>
    <font>
      <sz val="10"/>
      <color rgb="FFFF0000"/>
      <name val="Times New Roman"/>
      <family val="1"/>
      <charset val="1"/>
    </font>
    <font>
      <sz val="10"/>
      <color rgb="FFFF0000"/>
      <name val="Noto Sans CJK SC"/>
      <family val="2"/>
    </font>
    <font>
      <sz val="9"/>
      <name val="宋体"/>
      <family val="3"/>
      <charset val="134"/>
    </font>
    <font>
      <u val="single"/>
      <sz val="9"/>
      <color rgb="FFFF0000"/>
      <name val="宋体"/>
      <family val="3"/>
      <charset val="134"/>
    </font>
    <font>
      <u val="single"/>
      <sz val="9"/>
      <color rgb="FFFF0000"/>
      <name val="Noto Sans CJK SC"/>
      <family val="2"/>
    </font>
    <font>
      <sz val="9"/>
      <color rgb="FFFF0000"/>
      <name val="Noto Sans CJK SC"/>
      <family val="2"/>
    </font>
    <font>
      <b val="1"/>
      <sz val="14"/>
      <color rgb="FF000000"/>
      <name val="Cambria"/>
      <family val="1"/>
      <charset val="1"/>
    </font>
    <font>
      <b val="1"/>
      <sz val="11"/>
      <color rgb="FFFF0000"/>
      <name val="Noto Sans CJK SC"/>
      <family val="2"/>
    </font>
    <font>
      <sz val="9"/>
      <name val="汉仪青云简"/>
      <family val="0"/>
      <charset val="134"/>
    </font>
    <font>
      <sz val="9"/>
      <color rgb="FFFF0000"/>
      <name val="汉仪青云简"/>
      <family val="0"/>
      <charset val="134"/>
    </font>
    <font>
      <sz val="9"/>
      <color rgb="FFFF0000"/>
      <name val="宋体"/>
      <family val="3"/>
      <charset val="134"/>
    </font>
    <font>
      <b val="1"/>
      <sz val="9"/>
      <color rgb="FFFF0000"/>
      <name val="Noto Sans CJK SC"/>
      <family val="2"/>
    </font>
    <font>
      <b val="1"/>
      <sz val="9"/>
      <color rgb="FFFF0000"/>
      <name val="宋体"/>
      <family val="3"/>
      <charset val="134"/>
    </font>
    <font>
      <u val="single"/>
      <sz val="9"/>
      <name val="Noto Sans CJK SC"/>
      <family val="2"/>
    </font>
    <font>
      <u val="single"/>
      <sz val="9"/>
      <name val="宋体"/>
      <family val="3"/>
      <charset val="134"/>
    </font>
  </fonts>
  <fills count="3">
    <fill>
      <patternFill patternType="none"/>
    </fill>
    <fill>
      <patternFill patternType="gray125"/>
    </fill>
    <fill>
      <patternFill patternType="solid">
        <fgColor rgb="FFFFFFFF"/>
        <bgColor rgb="FFFFFFCC"/>
      </patternFill>
    </fill>
  </fills>
  <borders count="32">
    <border>
      <left/>
      <right/>
      <top/>
      <bottom/>
      <diagonal/>
    </border>
    <border>
      <left style="medium"/>
      <right style="thin"/>
      <top style="medium"/>
      <bottom style="thin"/>
      <diagonal/>
    </border>
    <border>
      <left style="thin"/>
      <right style="thin"/>
      <top style="medium"/>
      <bottom style="thin"/>
      <diagonal/>
    </border>
    <border>
      <left style="thin"/>
      <right style="medium"/>
      <top style="medium"/>
      <bottom style="thin"/>
      <diagonal/>
    </border>
    <border>
      <left style="medium"/>
      <right style="thin"/>
      <top style="thin"/>
      <bottom style="thin"/>
      <diagonal/>
    </border>
    <border>
      <left style="thin"/>
      <right style="thin"/>
      <top style="thin"/>
      <bottom style="thin"/>
      <diagonal/>
    </border>
    <border>
      <left style="thin"/>
      <right style="medium"/>
      <top style="thin"/>
      <bottom style="thin"/>
      <diagonal/>
    </border>
    <border>
      <left style="thin"/>
      <right/>
      <top style="thin"/>
      <bottom style="thin"/>
      <diagonal/>
    </border>
    <border>
      <left/>
      <right style="medium"/>
      <top style="thin"/>
      <bottom style="thin"/>
      <diagonal/>
    </border>
    <border>
      <left style="medium"/>
      <right/>
      <top style="thin"/>
      <bottom/>
      <diagonal/>
    </border>
    <border>
      <left/>
      <right/>
      <top style="thin"/>
      <bottom style="thin"/>
      <diagonal/>
    </border>
    <border>
      <left/>
      <right/>
      <top style="thin"/>
      <bottom/>
      <diagonal/>
    </border>
    <border>
      <left/>
      <right style="medium"/>
      <top style="thin"/>
      <bottom/>
      <diagonal/>
    </border>
    <border>
      <left style="medium"/>
      <right style="medium"/>
      <top/>
      <bottom style="thin"/>
      <diagonal/>
    </border>
    <border>
      <left style="medium"/>
      <right style="medium"/>
      <top style="thin"/>
      <bottom/>
      <diagonal/>
    </border>
    <border>
      <left style="medium"/>
      <right/>
      <top/>
      <bottom style="thin"/>
      <diagonal/>
    </border>
    <border>
      <left/>
      <right/>
      <top/>
      <bottom style="thin"/>
      <diagonal/>
    </border>
    <border>
      <left/>
      <right style="medium"/>
      <top/>
      <bottom style="thin"/>
      <diagonal/>
    </border>
    <border>
      <left/>
      <right style="thin"/>
      <top style="thin"/>
      <bottom/>
      <diagonal/>
    </border>
    <border>
      <left style="thin"/>
      <right/>
      <top style="thin"/>
      <bottom/>
      <diagonal/>
    </border>
    <border>
      <left style="medium"/>
      <right/>
      <top/>
      <bottom/>
      <diagonal/>
    </border>
    <border>
      <left/>
      <right style="thin"/>
      <top/>
      <bottom/>
      <diagonal/>
    </border>
    <border>
      <left style="thin"/>
      <right style="medium"/>
      <top/>
      <bottom/>
      <diagonal/>
    </border>
    <border>
      <left style="medium"/>
      <right/>
      <top/>
      <bottom style="medium"/>
      <diagonal/>
    </border>
    <border>
      <left/>
      <right style="thin"/>
      <top/>
      <bottom style="medium"/>
      <diagonal/>
    </border>
    <border>
      <left style="thin"/>
      <right/>
      <top/>
      <bottom style="medium"/>
      <diagonal/>
    </border>
    <border>
      <left/>
      <right style="medium"/>
      <top/>
      <bottom style="medium"/>
      <diagonal/>
    </border>
    <border>
      <left style="thin"/>
      <right style="thin"/>
      <top style="thin"/>
      <bottom/>
      <diagonal/>
    </border>
    <border>
      <left/>
      <right style="thin"/>
      <top style="thin"/>
      <bottom style="thin"/>
      <diagonal/>
    </border>
    <border>
      <left style="thin"/>
      <right style="thin"/>
      <top/>
      <bottom/>
      <diagonal/>
    </border>
    <border>
      <left style="thin"/>
      <right/>
      <top/>
      <bottom/>
      <diagonal/>
    </border>
    <border>
      <left style="thin"/>
      <right style="thin"/>
      <top/>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protection hidden="false" locked="true"/>
    </xf>
    <xf numFmtId="164" fontId="4" fillId="2" borderId="0" xfId="0" applyFont="true" applyBorder="true" applyAlignment="false" applyProtection="false">
      <alignment horizontal="general" vertical="bottom"/>
      <protection hidden="false" locked="true"/>
    </xf>
    <xf numFmtId="164" fontId="5" fillId="2" borderId="0" xfId="0" applyFont="true" applyBorder="false" applyAlignment="true" applyProtection="false">
      <alignment horizontal="general" vertical="center" wrapText="true"/>
      <protection hidden="false" locked="true"/>
    </xf>
    <xf numFmtId="164" fontId="5" fillId="2" borderId="0" xfId="0" applyFont="true" applyBorder="true" applyAlignment="true" applyProtection="false">
      <alignment horizontal="right" vertical="center" wrapText="true"/>
      <protection hidden="false" locked="true"/>
    </xf>
    <xf numFmtId="164" fontId="6" fillId="0" borderId="0" xfId="0" applyFont="true" applyBorder="true" applyAlignment="true" applyProtection="false">
      <alignment horizontal="center" vertical="center"/>
      <protection hidden="false" locked="true"/>
    </xf>
    <xf numFmtId="164" fontId="4" fillId="2" borderId="0" xfId="0" applyFont="true" applyBorder="true" applyAlignment="true" applyProtection="false">
      <alignment horizontal="center" vertical="center" wrapText="true"/>
      <protection hidden="false" locked="true"/>
    </xf>
    <xf numFmtId="164" fontId="4" fillId="2" borderId="0" xfId="0" applyFont="true" applyBorder="false" applyAlignment="true" applyProtection="false">
      <alignment horizontal="general" vertical="bottom" wrapText="true"/>
      <protection hidden="false" locked="true"/>
    </xf>
    <xf numFmtId="164" fontId="4" fillId="2" borderId="0" xfId="0" applyFont="true" applyBorder="true" applyAlignment="true" applyProtection="false">
      <alignment horizontal="left" vertical="center" wrapText="true"/>
      <protection hidden="false" locked="true"/>
    </xf>
    <xf numFmtId="164" fontId="4" fillId="2" borderId="1" xfId="0" applyFont="true" applyBorder="true" applyAlignment="true" applyProtection="false">
      <alignment horizontal="center" vertical="center" wrapText="true"/>
      <protection hidden="false" locked="true"/>
    </xf>
    <xf numFmtId="164" fontId="7" fillId="2" borderId="2" xfId="0" applyFont="true" applyBorder="true" applyAlignment="true" applyProtection="false">
      <alignment horizontal="center" vertical="center" wrapText="true"/>
      <protection hidden="false" locked="true"/>
    </xf>
    <xf numFmtId="164" fontId="4" fillId="2" borderId="2" xfId="0" applyFont="true" applyBorder="true" applyAlignment="true" applyProtection="false">
      <alignment horizontal="center" vertical="center" wrapText="true"/>
      <protection hidden="false" locked="true"/>
    </xf>
    <xf numFmtId="164" fontId="4" fillId="2" borderId="3" xfId="0" applyFont="true" applyBorder="true" applyAlignment="true" applyProtection="false">
      <alignment horizontal="center" vertical="center" wrapText="true"/>
      <protection hidden="false" locked="true"/>
    </xf>
    <xf numFmtId="164" fontId="4" fillId="2" borderId="4" xfId="0" applyFont="true" applyBorder="true" applyAlignment="true" applyProtection="false">
      <alignment horizontal="center" vertical="center" wrapText="true"/>
      <protection hidden="false" locked="true"/>
    </xf>
    <xf numFmtId="164" fontId="7" fillId="2" borderId="5" xfId="0" applyFont="true" applyBorder="true" applyAlignment="true" applyProtection="false">
      <alignment horizontal="center" vertical="center" wrapText="true"/>
      <protection hidden="false" locked="true"/>
    </xf>
    <xf numFmtId="164" fontId="4" fillId="2" borderId="5" xfId="0" applyFont="true" applyBorder="true" applyAlignment="true" applyProtection="false">
      <alignment horizontal="center" vertical="center" wrapText="true"/>
      <protection hidden="false" locked="true"/>
    </xf>
    <xf numFmtId="165" fontId="4" fillId="2" borderId="6" xfId="0" applyFont="true" applyBorder="true" applyAlignment="true" applyProtection="false">
      <alignment horizontal="center" vertical="center" wrapText="true"/>
      <protection hidden="false" locked="true"/>
    </xf>
    <xf numFmtId="164" fontId="7" fillId="2" borderId="7" xfId="0" applyFont="true" applyBorder="true" applyAlignment="true" applyProtection="false">
      <alignment horizontal="right" vertical="center" wrapText="true"/>
      <protection hidden="false" locked="true"/>
    </xf>
    <xf numFmtId="164" fontId="7" fillId="2" borderId="8" xfId="0" applyFont="true" applyBorder="true" applyAlignment="true" applyProtection="false">
      <alignment horizontal="left" vertical="center" wrapText="true"/>
      <protection hidden="false" locked="true"/>
    </xf>
    <xf numFmtId="164" fontId="4" fillId="2" borderId="6" xfId="0" applyFont="true" applyBorder="true" applyAlignment="true" applyProtection="false">
      <alignment horizontal="center" vertical="center" wrapText="true"/>
      <protection hidden="false" locked="true"/>
    </xf>
    <xf numFmtId="164" fontId="4" fillId="2" borderId="5" xfId="0" applyFont="true" applyBorder="true" applyAlignment="true" applyProtection="false">
      <alignment horizontal="left" vertical="center" wrapText="true"/>
      <protection hidden="false" locked="true"/>
    </xf>
    <xf numFmtId="164" fontId="8" fillId="2" borderId="6" xfId="0" applyFont="true" applyBorder="true" applyAlignment="true" applyProtection="false">
      <alignment horizontal="center" vertical="center" wrapText="true"/>
      <protection hidden="false" locked="true"/>
    </xf>
    <xf numFmtId="164" fontId="8" fillId="2" borderId="5" xfId="0" applyFont="true" applyBorder="true" applyAlignment="true" applyProtection="false">
      <alignment horizontal="center" vertical="center" wrapText="true"/>
      <protection hidden="false" locked="true"/>
    </xf>
    <xf numFmtId="166" fontId="8" fillId="2" borderId="6" xfId="0" applyFont="true" applyBorder="true" applyAlignment="true" applyProtection="false">
      <alignment horizontal="center" vertical="center" wrapText="true"/>
      <protection hidden="false" locked="true"/>
    </xf>
    <xf numFmtId="164" fontId="4" fillId="2" borderId="9" xfId="0" applyFont="true" applyBorder="true" applyAlignment="true" applyProtection="false">
      <alignment horizontal="center" vertical="bottom" wrapText="true"/>
      <protection hidden="false" locked="true"/>
    </xf>
    <xf numFmtId="164" fontId="7" fillId="2" borderId="10" xfId="0" applyFont="true" applyBorder="true" applyAlignment="true" applyProtection="false">
      <alignment horizontal="center" vertical="bottom" wrapText="true"/>
      <protection hidden="false" locked="true"/>
    </xf>
    <xf numFmtId="164" fontId="4" fillId="2" borderId="11" xfId="0" applyFont="true" applyBorder="true" applyAlignment="true" applyProtection="false">
      <alignment horizontal="center" vertical="bottom"/>
      <protection hidden="false" locked="true"/>
    </xf>
    <xf numFmtId="164" fontId="4" fillId="2" borderId="11" xfId="0" applyFont="true" applyBorder="true" applyAlignment="true" applyProtection="false">
      <alignment horizontal="center" vertical="bottom" wrapText="true"/>
      <protection hidden="false" locked="true"/>
    </xf>
    <xf numFmtId="167" fontId="7" fillId="2" borderId="10" xfId="0" applyFont="true" applyBorder="true" applyAlignment="true" applyProtection="false">
      <alignment horizontal="center" vertical="bottom" wrapText="true"/>
      <protection hidden="false" locked="true"/>
    </xf>
    <xf numFmtId="164" fontId="7" fillId="2" borderId="12" xfId="0" applyFont="true" applyBorder="true" applyAlignment="true" applyProtection="false">
      <alignment horizontal="left" vertical="bottom" wrapText="true"/>
      <protection hidden="false" locked="true"/>
    </xf>
    <xf numFmtId="164" fontId="4" fillId="2" borderId="13" xfId="0" applyFont="true" applyBorder="true" applyAlignment="true" applyProtection="false">
      <alignment horizontal="center" vertical="center" wrapText="true"/>
      <protection hidden="false" locked="true"/>
    </xf>
    <xf numFmtId="164" fontId="4" fillId="2" borderId="14" xfId="0" applyFont="true" applyBorder="true" applyAlignment="true" applyProtection="false">
      <alignment horizontal="left" vertical="center" wrapText="true"/>
      <protection hidden="false" locked="true"/>
    </xf>
    <xf numFmtId="164" fontId="4" fillId="2" borderId="15" xfId="0" applyFont="true" applyBorder="true" applyAlignment="true" applyProtection="false">
      <alignment horizontal="center" vertical="center" wrapText="true"/>
      <protection hidden="false" locked="true"/>
    </xf>
    <xf numFmtId="164" fontId="4" fillId="2" borderId="16" xfId="0" applyFont="true" applyBorder="true" applyAlignment="true" applyProtection="false">
      <alignment horizontal="general" vertical="center" wrapText="true"/>
      <protection hidden="false" locked="true"/>
    </xf>
    <xf numFmtId="164" fontId="4" fillId="2" borderId="16" xfId="0" applyFont="true" applyBorder="true" applyAlignment="true" applyProtection="false">
      <alignment horizontal="center" vertical="center" wrapText="true"/>
      <protection hidden="false" locked="true"/>
    </xf>
    <xf numFmtId="164" fontId="4" fillId="2" borderId="16" xfId="0" applyFont="true" applyBorder="true" applyAlignment="true" applyProtection="false">
      <alignment horizontal="left" vertical="center" wrapText="true"/>
      <protection hidden="false" locked="true"/>
    </xf>
    <xf numFmtId="164" fontId="4" fillId="2" borderId="17" xfId="0" applyFont="true" applyBorder="true" applyAlignment="true" applyProtection="false">
      <alignment horizontal="center" vertical="center" wrapText="true"/>
      <protection hidden="false" locked="true"/>
    </xf>
    <xf numFmtId="164" fontId="4" fillId="2" borderId="9" xfId="0" applyFont="true" applyBorder="true" applyAlignment="true" applyProtection="false">
      <alignment horizontal="left" vertical="center" wrapText="true"/>
      <protection hidden="false" locked="true"/>
    </xf>
    <xf numFmtId="164" fontId="4" fillId="2" borderId="18" xfId="0" applyFont="true" applyBorder="true" applyAlignment="true" applyProtection="false">
      <alignment horizontal="left" vertical="center" wrapText="true"/>
      <protection hidden="false" locked="true"/>
    </xf>
    <xf numFmtId="164" fontId="4" fillId="2" borderId="19" xfId="0" applyFont="true" applyBorder="true" applyAlignment="true" applyProtection="false">
      <alignment horizontal="left" vertical="center" wrapText="true"/>
      <protection hidden="false" locked="true"/>
    </xf>
    <xf numFmtId="164" fontId="4" fillId="2" borderId="12" xfId="0" applyFont="true" applyBorder="true" applyAlignment="true" applyProtection="false">
      <alignment horizontal="left" vertical="center" wrapText="true"/>
      <protection hidden="false" locked="true"/>
    </xf>
    <xf numFmtId="164" fontId="4" fillId="2" borderId="20" xfId="0" applyFont="true" applyBorder="true" applyAlignment="true" applyProtection="false">
      <alignment horizontal="left" vertical="center" wrapText="true"/>
      <protection hidden="false" locked="true"/>
    </xf>
    <xf numFmtId="164" fontId="4" fillId="2" borderId="21" xfId="0" applyFont="true" applyBorder="true" applyAlignment="true" applyProtection="false">
      <alignment horizontal="left" vertical="center" wrapText="true"/>
      <protection hidden="false" locked="true"/>
    </xf>
    <xf numFmtId="164" fontId="4" fillId="2" borderId="22" xfId="0" applyFont="true" applyBorder="true" applyAlignment="true" applyProtection="false">
      <alignment horizontal="center" vertical="center" wrapText="true"/>
      <protection hidden="false" locked="true"/>
    </xf>
    <xf numFmtId="164" fontId="4" fillId="2" borderId="23" xfId="0" applyFont="true" applyBorder="true" applyAlignment="true" applyProtection="false">
      <alignment horizontal="center" vertical="center" wrapText="true"/>
      <protection hidden="false" locked="true"/>
    </xf>
    <xf numFmtId="165" fontId="4" fillId="2" borderId="24" xfId="0" applyFont="true" applyBorder="true" applyAlignment="true" applyProtection="false">
      <alignment horizontal="center" vertical="center" wrapText="true"/>
      <protection hidden="false" locked="true"/>
    </xf>
    <xf numFmtId="164" fontId="4" fillId="2" borderId="25" xfId="0" applyFont="true" applyBorder="true" applyAlignment="true" applyProtection="false">
      <alignment horizontal="center" vertical="center" wrapText="true"/>
      <protection hidden="false" locked="true"/>
    </xf>
    <xf numFmtId="165" fontId="4" fillId="2" borderId="26" xfId="0" applyFont="true" applyBorder="true" applyAlignment="true" applyProtection="false">
      <alignment horizontal="center" vertical="center" wrapText="true"/>
      <protection hidden="false" locked="true"/>
    </xf>
    <xf numFmtId="164" fontId="9" fillId="0" borderId="0" xfId="0" applyFont="true" applyBorder="false" applyAlignment="false" applyProtection="false">
      <alignment horizontal="general" vertical="bottom"/>
      <protection hidden="false" locked="true"/>
    </xf>
    <xf numFmtId="164" fontId="10" fillId="0" borderId="0" xfId="0" applyFont="true" applyBorder="true" applyAlignment="true" applyProtection="false">
      <alignment horizontal="center" vertical="center"/>
      <protection hidden="false" locked="true"/>
    </xf>
    <xf numFmtId="164" fontId="12" fillId="0" borderId="0" xfId="0" applyFont="true" applyBorder="true" applyAlignment="true" applyProtection="false">
      <alignment horizontal="left" vertical="center"/>
      <protection hidden="false" locked="true"/>
    </xf>
    <xf numFmtId="164" fontId="15" fillId="0" borderId="5" xfId="0" applyFont="true" applyBorder="true" applyAlignment="true" applyProtection="false">
      <alignment horizontal="center" vertical="center" wrapText="true"/>
      <protection hidden="false" locked="true"/>
    </xf>
    <xf numFmtId="164" fontId="16" fillId="0" borderId="5" xfId="0" applyFont="true" applyBorder="true" applyAlignment="true" applyProtection="false">
      <alignment horizontal="center" vertical="center" wrapText="true"/>
      <protection hidden="false" locked="true"/>
    </xf>
    <xf numFmtId="164" fontId="17" fillId="0" borderId="5" xfId="0" applyFont="true" applyBorder="true" applyAlignment="true" applyProtection="false">
      <alignment horizontal="center" vertical="center" wrapText="true"/>
      <protection hidden="false" locked="true"/>
    </xf>
    <xf numFmtId="164" fontId="18" fillId="0" borderId="0" xfId="0" applyFont="true" applyBorder="true" applyAlignment="true" applyProtection="false">
      <alignment horizontal="center" vertical="center" wrapText="true"/>
      <protection hidden="false" locked="true"/>
    </xf>
    <xf numFmtId="164" fontId="19" fillId="0" borderId="5" xfId="0" applyFont="true" applyBorder="true" applyAlignment="true" applyProtection="false">
      <alignment horizontal="center" vertical="center" wrapText="true"/>
      <protection hidden="false" locked="true"/>
    </xf>
    <xf numFmtId="164" fontId="20" fillId="0" borderId="5" xfId="0" applyFont="true" applyBorder="true" applyAlignment="true" applyProtection="false">
      <alignment horizontal="center" vertical="center" wrapText="true"/>
      <protection hidden="false" locked="true"/>
    </xf>
    <xf numFmtId="164" fontId="15" fillId="0" borderId="5" xfId="0" applyFont="true" applyBorder="true" applyAlignment="true" applyProtection="false">
      <alignment horizontal="left" vertical="center" wrapText="true"/>
      <protection hidden="false" locked="true"/>
    </xf>
    <xf numFmtId="164" fontId="0" fillId="0" borderId="5" xfId="0" applyFont="true" applyBorder="true" applyAlignment="true" applyProtection="false">
      <alignment horizontal="center" vertical="center" wrapText="true"/>
      <protection hidden="false" locked="true"/>
    </xf>
    <xf numFmtId="164" fontId="21" fillId="0" borderId="5" xfId="0" applyFont="true" applyBorder="true" applyAlignment="true" applyProtection="false">
      <alignment horizontal="center" vertical="center" wrapText="true"/>
      <protection hidden="false" locked="true"/>
    </xf>
    <xf numFmtId="168" fontId="21" fillId="0" borderId="5" xfId="0" applyFont="true" applyBorder="true" applyAlignment="true" applyProtection="false">
      <alignment horizontal="center" vertical="center" wrapText="true"/>
      <protection hidden="false" locked="true"/>
    </xf>
    <xf numFmtId="164" fontId="21" fillId="0" borderId="27" xfId="0" applyFont="true" applyBorder="true" applyAlignment="true" applyProtection="false">
      <alignment horizontal="center" vertical="center" wrapText="true"/>
      <protection hidden="false" locked="true"/>
    </xf>
    <xf numFmtId="164" fontId="15" fillId="0" borderId="7" xfId="0" applyFont="true" applyBorder="true" applyAlignment="true" applyProtection="false">
      <alignment horizontal="left" vertical="center" wrapText="true"/>
      <protection hidden="false" locked="true"/>
    </xf>
    <xf numFmtId="164" fontId="22" fillId="0" borderId="5" xfId="0" applyFont="true" applyBorder="true" applyAlignment="true" applyProtection="false">
      <alignment horizontal="center" vertical="center" wrapText="true"/>
      <protection hidden="false" locked="true"/>
    </xf>
    <xf numFmtId="164" fontId="22" fillId="0" borderId="28" xfId="0" applyFont="true" applyBorder="true" applyAlignment="true" applyProtection="false">
      <alignment horizontal="center" vertical="center" wrapText="true"/>
      <protection hidden="false" locked="true"/>
    </xf>
    <xf numFmtId="168" fontId="22" fillId="0" borderId="5" xfId="0" applyFont="true" applyBorder="true" applyAlignment="true" applyProtection="false">
      <alignment horizontal="center" vertical="center" wrapText="true"/>
      <protection hidden="false" locked="true"/>
    </xf>
    <xf numFmtId="164" fontId="23" fillId="0" borderId="5" xfId="0" applyFont="true" applyBorder="true" applyAlignment="true" applyProtection="false">
      <alignment horizontal="center" vertical="center" wrapText="true"/>
      <protection hidden="false" locked="true"/>
    </xf>
    <xf numFmtId="164" fontId="24" fillId="0" borderId="5" xfId="0" applyFont="true" applyBorder="true" applyAlignment="true" applyProtection="false">
      <alignment horizontal="center" vertical="center" wrapText="true"/>
      <protection hidden="false" locked="true"/>
    </xf>
    <xf numFmtId="164" fontId="21" fillId="0" borderId="28" xfId="0" applyFont="true" applyBorder="true" applyAlignment="true" applyProtection="false">
      <alignment horizontal="center" vertical="center" wrapText="true"/>
      <protection hidden="false" locked="true"/>
    </xf>
    <xf numFmtId="164" fontId="15" fillId="0" borderId="7" xfId="0" applyFont="true" applyBorder="true" applyAlignment="true" applyProtection="false">
      <alignment horizontal="center" vertical="center" wrapText="true"/>
      <protection hidden="false" locked="true"/>
    </xf>
    <xf numFmtId="164" fontId="15" fillId="0" borderId="5" xfId="0" applyFont="true" applyBorder="true" applyAlignment="true" applyProtection="false">
      <alignment horizontal="justify" vertical="center" wrapText="true"/>
      <protection hidden="false" locked="true"/>
    </xf>
    <xf numFmtId="164" fontId="15" fillId="0" borderId="27" xfId="0" applyFont="true" applyBorder="true" applyAlignment="true" applyProtection="false">
      <alignment horizontal="justify" vertical="center" wrapText="true"/>
      <protection hidden="false" locked="true"/>
    </xf>
    <xf numFmtId="164" fontId="15" fillId="0" borderId="29" xfId="0" applyFont="true" applyBorder="true" applyAlignment="true" applyProtection="false">
      <alignment horizontal="justify" vertical="center" wrapText="true"/>
      <protection hidden="false" locked="true"/>
    </xf>
    <xf numFmtId="164" fontId="15" fillId="0" borderId="30" xfId="0" applyFont="true" applyBorder="true" applyAlignment="true" applyProtection="false">
      <alignment horizontal="center" vertical="center" wrapText="true"/>
      <protection hidden="false" locked="true"/>
    </xf>
    <xf numFmtId="164" fontId="28" fillId="0" borderId="16" xfId="0" applyFont="true" applyBorder="true" applyAlignment="true" applyProtection="false">
      <alignment horizontal="center" vertical="center" wrapText="true"/>
      <protection hidden="false" locked="true"/>
    </xf>
    <xf numFmtId="164" fontId="15" fillId="0" borderId="0" xfId="0" applyFont="true" applyBorder="false" applyAlignment="true" applyProtection="false">
      <alignment horizontal="general" vertical="center" wrapText="true"/>
      <protection hidden="false" locked="true"/>
    </xf>
    <xf numFmtId="164" fontId="15" fillId="0" borderId="21" xfId="0" applyFont="true" applyBorder="true" applyAlignment="true" applyProtection="false">
      <alignment horizontal="general" vertical="center" wrapText="true"/>
      <protection hidden="false" locked="true"/>
    </xf>
    <xf numFmtId="164" fontId="15" fillId="0" borderId="29" xfId="0" applyFont="true" applyBorder="true" applyAlignment="true" applyProtection="false">
      <alignment horizontal="right" vertical="center" wrapText="true"/>
      <protection hidden="false" locked="true"/>
    </xf>
    <xf numFmtId="164" fontId="15" fillId="0" borderId="31" xfId="0" applyFont="true" applyBorder="true" applyAlignment="true" applyProtection="false">
      <alignment horizontal="right" vertical="center" wrapText="true"/>
      <protection hidden="false" locked="true"/>
    </xf>
    <xf numFmtId="164" fontId="9" fillId="0" borderId="0" xfId="0" applyFont="true" applyBorder="false" applyAlignment="true" applyProtection="false">
      <alignment horizontal="general" vertical="center"/>
      <protection hidden="false" locked="true"/>
    </xf>
    <xf numFmtId="164" fontId="12" fillId="0" borderId="16" xfId="0" applyFont="true" applyBorder="true" applyAlignment="true" applyProtection="false">
      <alignment horizontal="left" vertical="center"/>
      <protection hidden="false" locked="true"/>
    </xf>
    <xf numFmtId="164" fontId="28" fillId="0" borderId="5" xfId="0" applyFont="true" applyBorder="true" applyAlignment="true" applyProtection="false">
      <alignment horizontal="center" vertical="center" wrapText="true"/>
      <protection hidden="false" locked="true"/>
    </xf>
    <xf numFmtId="164" fontId="31" fillId="0" borderId="5" xfId="0" applyFont="true" applyBorder="true" applyAlignment="true" applyProtection="false">
      <alignment horizontal="center" vertical="center" wrapText="true"/>
      <protection hidden="false" locked="true"/>
    </xf>
    <xf numFmtId="168" fontId="31" fillId="0" borderId="5" xfId="0" applyFont="true" applyBorder="true" applyAlignment="true" applyProtection="false">
      <alignment horizontal="center" vertical="center" wrapText="true"/>
      <protection hidden="false" locked="true"/>
    </xf>
    <xf numFmtId="164" fontId="15" fillId="0" borderId="27" xfId="0" applyFont="true" applyBorder="true" applyAlignment="true" applyProtection="false">
      <alignment horizontal="center" vertical="center" wrapText="true"/>
      <protection hidden="false" locked="true"/>
    </xf>
    <xf numFmtId="164" fontId="32" fillId="0" borderId="5" xfId="0" applyFont="true" applyBorder="true" applyAlignment="true" applyProtection="false">
      <alignment horizontal="center" vertical="center" wrapText="true"/>
      <protection hidden="false" locked="true"/>
    </xf>
    <xf numFmtId="168" fontId="32" fillId="0" borderId="5" xfId="0" applyFont="true" applyBorder="true" applyAlignment="true" applyProtection="false">
      <alignment horizontal="center" vertical="center" wrapText="true"/>
      <protection hidden="false" locked="true"/>
    </xf>
    <xf numFmtId="169" fontId="32" fillId="0" borderId="5" xfId="0" applyFont="true" applyBorder="true" applyAlignment="true" applyProtection="false">
      <alignment horizontal="general" vertical="center" wrapText="true"/>
      <protection hidden="false" locked="true"/>
    </xf>
    <xf numFmtId="164" fontId="32" fillId="0" borderId="28" xfId="0" applyFont="true" applyBorder="true" applyAlignment="true" applyProtection="false">
      <alignment horizontal="center" vertical="center" wrapText="true"/>
      <protection hidden="false" locked="true"/>
    </xf>
    <xf numFmtId="164" fontId="15" fillId="0" borderId="27" xfId="0" applyFont="true" applyBorder="true" applyAlignment="true" applyProtection="false">
      <alignment horizontal="left" vertical="center" wrapText="true"/>
      <protection hidden="false" locked="true"/>
    </xf>
    <xf numFmtId="164" fontId="15" fillId="0" borderId="29" xfId="0" applyFont="true" applyBorder="true" applyAlignment="true" applyProtection="false">
      <alignment horizontal="left" vertical="bottom" wrapText="true"/>
      <protection hidden="false" locked="true"/>
    </xf>
    <xf numFmtId="164" fontId="15" fillId="0" borderId="0" xfId="0" applyFont="true" applyBorder="false" applyAlignment="true" applyProtection="false">
      <alignment horizontal="general" vertical="bottom" wrapText="true"/>
      <protection hidden="false" locked="true"/>
    </xf>
    <xf numFmtId="164" fontId="17" fillId="0" borderId="31" xfId="0" applyFont="true" applyBorder="true" applyAlignment="true" applyProtection="false">
      <alignment horizontal="right" vertical="top" wrapText="true"/>
      <protection hidden="false" locked="tru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externalLinks/externalLink1.xml" Type="http://schemas.openxmlformats.org/officeDocument/2006/relationships/externalLink"></Relationship><Relationship Id="rId6" Target="externalLinks/externalLink2.xml" Type="http://schemas.openxmlformats.org/officeDocument/2006/relationships/externalLink"></Relationship><Relationship Id="rId7" Target="/xl/sharedStrings.xml" Type="http://schemas.openxmlformats.org/officeDocument/2006/relationships/sharedStrings"></Relationship></Relationships>
</file>

<file path=xl/externalLinks/_rels/externalLink1.xml.rels><?xml version="1.0" encoding="UTF-8"?>
<Relationships xmlns="http://schemas.openxmlformats.org/package/2006/relationships"><Relationship Id="rId1" Type="http://schemas.openxmlformats.org/officeDocument/2006/relationships/externalLinkPath" Target="home/liocheng/Install/go_path/src/ownergit/tools/excel-generator/templates/&#65288;2024HD10&#22320;&#22359;-01&#30000;&#22359;&#65289;&#30000;&#22359;&#22303;&#26041;&#24320;&#25366;&#21333;&#20803;&#24037;&#31243;&#26045;&#24037;&#36136;&#37327;&#39564;&#25910;&#35780;&#23450;&#34920;.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ome/liocheng/Install/go_path/src/ownergit/tools/excel-generator/templates/&#24067;&#25302;&#24037;&#24207;&#34920;&#65288;&#20462;&#25913;&#65289;/&#26222;&#36890;&#28151;&#20957;&#22303;.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表土剥离和回覆质量报验表"/>
      <sheetName val="表土玻璃和回覆质量评定表"/>
      <sheetName val="土方开挖报验表"/>
      <sheetName val="土方开挖评定表"/>
      <sheetName val="表土及土质岸坡清理工序"/>
      <sheetName val="软基或土质岸坡开挖工序"/>
      <sheetName val="土料填筑质量报验单"/>
      <sheetName val="土料填筑评定表"/>
      <sheetName val="土料填筑结合面处理工序"/>
      <sheetName val="土料填筑卸料及铺填工序"/>
      <sheetName val="土料填筑土料压实工序"/>
      <sheetName val="土料填筑接缝处理工序"/>
      <sheetName val="田埂修筑报验表"/>
      <sheetName val="田埂修筑质量评定表"/>
      <sheetName val="田块平整报验表"/>
      <sheetName val="田块平整质量评定表"/>
      <sheetName val="混凝土预制构件安装单元"/>
      <sheetName val="混凝土构件外观质量检查工序"/>
      <sheetName val="预制件吊装工序"/>
      <sheetName val="预制件接缝及接头处理工序"/>
      <sheetName val="普通混凝土单元"/>
      <sheetName val="基础面处理工序"/>
      <sheetName val="施工缝处理工序"/>
      <sheetName val="模板制作及安装工序"/>
      <sheetName val="钢筋制作及安装工序"/>
      <sheetName val="预埋件制作及安装工序"/>
      <sheetName val="混凝土浇筑工序"/>
      <sheetName val="混凝土外观质量检查工序"/>
    </sheetNames>
    <sheetDataSet>
      <sheetData sheetId="0"/>
      <sheetData sheetId="1">
        <row r="4">
          <cell r="M4" t="str">
            <v>土地平整工程</v>
          </cell>
        </row>
        <row r="5">
          <cell r="M5" t="str">
            <v>2024HD10地块土地平整</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普通混凝土单元"/>
      <sheetName val="基础面处理工序"/>
      <sheetName val="施工缝处理工序"/>
      <sheetName val="模板制作及安装工序"/>
      <sheetName val=" 钢筋制作及安装工序"/>
      <sheetName val="预埋件制作及安装工序"/>
      <sheetName val="混凝土浇筑工序"/>
      <sheetName val="混凝土外观质量检查工序"/>
    </sheetNames>
    <sheetDataSet>
      <sheetData sheetId="0">
        <row r="3">
          <cell r="D3" t="str">
            <v>进水闸工程</v>
          </cell>
        </row>
        <row r="4">
          <cell r="D4" t="str">
            <v>闸室段</v>
          </cell>
        </row>
        <row r="5">
          <cell r="D5" t="str">
            <v>2#闸墩，▽152.500～154.500m</v>
          </cell>
        </row>
      </sheetData>
      <sheetData sheetId="1"/>
      <sheetData sheetId="2"/>
      <sheetData sheetId="3"/>
      <sheetData sheetId="4"/>
      <sheetData sheetId="5"/>
      <sheetData sheetId="6"/>
      <sheetData sheetId="7"/>
    </sheetDataSet>
  </externalBook>
</externalLink>
</file>

<file path=xl/worksheets/sheet1.xml><?xml version="1.0" encoding="utf-8"?>
<worksheet xmlns="http://schemas.openxmlformats.org/spreadsheetml/2006/main" xmlns:r="http://schemas.openxmlformats.org/officeDocument/2006/relationships">
  <sheetPr>
    <pageSetUpPr/>
  </sheetPr>
  <dimension ref="A1:AI25"/>
  <sheetViews>
    <sheetView showGridLines="true" showRowColHeaders="true" showZeros="true" tabSelected="true" showOutlineSymbols="true" defaultGridColor="true" view="pageBreakPreview" topLeftCell="A7" colorId="64" zoomScale="100" zoomScaleNormal="100" zoomScalePageLayoutView="100" workbookViewId="0">
      <selection activeCell="AP9" activeCellId="0" pane="topLeft" sqref="AP9"/>
    </sheetView>
  </sheetViews>
  <sheetFormatPr defaultRowHeight="12"/>
  <cols>
    <col customWidth="true" max="1" min="1" width="0.81"/>
    <col customWidth="true" max="4" min="2" width="3.59"/>
    <col customWidth="true" max="16" min="5" width="3.43"/>
    <col customWidth="true" max="17" min="17" width="5.38"/>
    <col customWidth="true" max="18" min="18" width="4.24"/>
    <col customWidth="true" max="19" min="19" width="4.09"/>
    <col customWidth="true" max="20" min="20" width="4.24"/>
    <col customWidth="true" max="22" min="21" width="4.41"/>
    <col customWidth="true" max="23" min="23" width="4.57"/>
    <col customWidth="true" max="24" min="24" width="4.41"/>
    <col customWidth="true" max="26" min="25" width="4.24"/>
    <col customWidth="true" max="30" min="27" width="2.77"/>
    <col customWidth="true" max="34" min="31" width="2.61"/>
    <col customWidth="true" max="35" min="35" width="0.81"/>
    <col customWidth="true" max="1025" min="36" width="10.61"/>
  </cols>
  <sheetData>
    <row r="1" ht="3.75" customHeight="tru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45" customHeight="true">
      <c r="A2" s="1"/>
      <c r="B2" s="2"/>
      <c r="C2" s="2"/>
      <c r="D2" s="2"/>
      <c r="E2" s="2"/>
      <c r="F2" s="2"/>
      <c r="G2" s="2"/>
      <c r="H2" s="2"/>
      <c r="I2" s="2"/>
      <c r="J2" s="3" t="s">
        <v>0</v>
      </c>
      <c r="K2" s="3"/>
      <c r="L2" s="3"/>
      <c r="M2" s="3"/>
      <c r="N2" s="3"/>
      <c r="O2" s="3"/>
      <c r="P2" s="3"/>
      <c r="Q2" s="4" t="s">
        <v>1</v>
      </c>
      <c r="R2" s="4"/>
      <c r="S2" s="4"/>
      <c r="T2" s="4"/>
      <c r="U2" s="4"/>
      <c r="V2" s="4"/>
      <c r="W2" s="4"/>
      <c r="X2" s="4"/>
      <c r="Y2" s="4"/>
      <c r="Z2" s="4"/>
      <c r="AA2" s="4"/>
      <c r="AB2" s="2"/>
      <c r="AC2" s="2"/>
      <c r="AD2" s="2"/>
      <c r="AE2" s="2"/>
      <c r="AF2" s="2"/>
      <c r="AG2" s="2"/>
      <c r="AH2" s="2"/>
      <c r="AI2" s="1"/>
    </row>
    <row r="3" ht="26.25" customHeight="true">
      <c r="A3" s="1"/>
      <c r="B3" s="5" t="s">
        <v>2</v>
      </c>
      <c r="C3" s="5"/>
      <c r="D3" s="5"/>
      <c r="E3" s="5"/>
      <c r="F3" s="5" t="s">
        <v>3</v>
      </c>
      <c r="G3" s="5"/>
      <c r="H3" s="5"/>
      <c r="I3" s="5"/>
      <c r="J3" s="5"/>
      <c r="K3" s="5"/>
      <c r="L3" s="5"/>
      <c r="M3" s="5"/>
      <c r="N3" s="5"/>
      <c r="O3" s="5"/>
      <c r="P3" s="5"/>
      <c r="Q3" s="5"/>
      <c r="R3" s="5"/>
      <c r="S3" s="5"/>
      <c r="T3" s="5"/>
      <c r="U3" s="6"/>
      <c r="V3" s="6"/>
      <c r="W3" s="6"/>
      <c r="X3" s="6"/>
      <c r="Y3" s="6"/>
      <c r="Z3" s="7" t="s">
        <v>4</v>
      </c>
      <c r="AA3" s="7"/>
      <c r="AB3" s="7"/>
      <c r="AC3" s="7"/>
      <c r="AD3" s="7"/>
      <c r="AE3" s="7"/>
      <c r="AF3" s="7"/>
      <c r="AG3" s="7"/>
      <c r="AH3" s="7"/>
      <c r="AI3" s="1"/>
    </row>
    <row r="4" ht="30" customHeight="true">
      <c r="A4" s="1"/>
      <c r="B4" s="8" t="s">
        <v>5</v>
      </c>
      <c r="C4" s="8"/>
      <c r="D4" s="8"/>
      <c r="E4" s="8"/>
      <c r="F4" s="8"/>
      <c r="G4" s="8"/>
      <c r="H4" s="8"/>
      <c r="I4" s="8"/>
      <c r="J4" s="8"/>
      <c r="K4" s="8"/>
      <c r="L4" s="8"/>
      <c r="M4" s="9" t="str">
        <f>[1]表土玻璃和回覆质量评定表!M4</f>
        <v>土地平整工程</v>
      </c>
      <c r="N4" s="9"/>
      <c r="O4" s="9"/>
      <c r="P4" s="9"/>
      <c r="Q4" s="9"/>
      <c r="R4" s="9"/>
      <c r="S4" s="9"/>
      <c r="T4" s="9"/>
      <c r="U4" s="9"/>
      <c r="V4" s="9"/>
      <c r="W4" s="10" t="s">
        <v>6</v>
      </c>
      <c r="X4" s="10"/>
      <c r="Y4" s="10"/>
      <c r="Z4" s="10"/>
      <c r="AA4" s="11"/>
      <c r="AB4" s="11"/>
      <c r="AC4" s="11"/>
      <c r="AD4" s="11"/>
      <c r="AE4" s="11"/>
      <c r="AF4" s="11"/>
      <c r="AG4" s="11"/>
      <c r="AH4" s="11"/>
      <c r="AI4" s="1"/>
    </row>
    <row r="5" ht="30" customHeight="true">
      <c r="A5" s="1"/>
      <c r="B5" s="12" t="s">
        <v>7</v>
      </c>
      <c r="C5" s="12"/>
      <c r="D5" s="12"/>
      <c r="E5" s="12"/>
      <c r="F5" s="12"/>
      <c r="G5" s="12"/>
      <c r="H5" s="12"/>
      <c r="I5" s="12"/>
      <c r="J5" s="12"/>
      <c r="K5" s="12"/>
      <c r="L5" s="12"/>
      <c r="M5" s="13" t="str">
        <f>[1]表土玻璃和回覆质量评定表!M5</f>
        <v>2024HD10地块土地平整</v>
      </c>
      <c r="N5" s="13"/>
      <c r="O5" s="13"/>
      <c r="P5" s="13"/>
      <c r="Q5" s="13"/>
      <c r="R5" s="13"/>
      <c r="S5" s="13"/>
      <c r="T5" s="13"/>
      <c r="U5" s="13"/>
      <c r="V5" s="13"/>
      <c r="W5" s="14" t="s">
        <v>8</v>
      </c>
      <c r="X5" s="14"/>
      <c r="Y5" s="14"/>
      <c r="Z5" s="14"/>
      <c r="AA5" s="15" t="s">
        <v>9</v>
      </c>
      <c r="AB5" s="15"/>
      <c r="AC5" s="15"/>
      <c r="AD5" s="15"/>
      <c r="AE5" s="15"/>
      <c r="AF5" s="15"/>
      <c r="AG5" s="15"/>
      <c r="AH5" s="15"/>
      <c r="AI5" s="1"/>
    </row>
    <row r="6" ht="30" customHeight="true">
      <c r="A6" s="1"/>
      <c r="B6" s="12" t="s">
        <v>10</v>
      </c>
      <c r="C6" s="12"/>
      <c r="D6" s="12"/>
      <c r="E6" s="12"/>
      <c r="F6" s="12"/>
      <c r="G6" s="12"/>
      <c r="H6" s="12"/>
      <c r="I6" s="12"/>
      <c r="J6" s="12"/>
      <c r="K6" s="12"/>
      <c r="L6" s="12"/>
      <c r="M6" s="16" t="s">
        <v>158</v>
      </c>
      <c r="N6" s="16"/>
      <c r="O6" s="16"/>
      <c r="P6" s="16"/>
      <c r="Q6" s="16"/>
      <c r="R6" s="16"/>
      <c r="S6" s="16"/>
      <c r="T6" s="16"/>
      <c r="U6" s="16"/>
      <c r="V6" s="16"/>
      <c r="W6" s="16"/>
      <c r="X6" s="16"/>
      <c r="Y6" s="17" t="str">
        <f>J2</f>
        <v>田埂修筑</v>
      </c>
      <c r="Z6" s="17"/>
      <c r="AA6" s="17"/>
      <c r="AB6" s="17"/>
      <c r="AC6" s="17"/>
      <c r="AD6" s="17"/>
      <c r="AE6" s="17"/>
      <c r="AF6" s="17"/>
      <c r="AG6" s="17"/>
      <c r="AH6" s="17"/>
      <c r="AI6" s="1"/>
    </row>
    <row r="7" ht="26.25" customHeight="true">
      <c r="A7" s="1"/>
      <c r="B7" s="12" t="s">
        <v>12</v>
      </c>
      <c r="C7" s="12"/>
      <c r="D7" s="14" t="s">
        <v>13</v>
      </c>
      <c r="E7" s="14"/>
      <c r="F7" s="14"/>
      <c r="G7" s="14"/>
      <c r="H7" s="14"/>
      <c r="I7" s="14"/>
      <c r="J7" s="14"/>
      <c r="K7" s="14"/>
      <c r="L7" s="14"/>
      <c r="M7" s="14" t="s">
        <v>14</v>
      </c>
      <c r="N7" s="14"/>
      <c r="O7" s="14"/>
      <c r="P7" s="14"/>
      <c r="Q7" s="14"/>
      <c r="R7" s="14"/>
      <c r="S7" s="14"/>
      <c r="T7" s="14"/>
      <c r="U7" s="14"/>
      <c r="V7" s="14"/>
      <c r="W7" s="14"/>
      <c r="X7" s="14"/>
      <c r="Y7" s="14"/>
      <c r="Z7" s="14"/>
      <c r="AA7" s="18" t="s">
        <v>15</v>
      </c>
      <c r="AB7" s="18"/>
      <c r="AC7" s="18"/>
      <c r="AD7" s="18"/>
      <c r="AE7" s="18"/>
      <c r="AF7" s="18"/>
      <c r="AG7" s="18"/>
      <c r="AH7" s="18"/>
      <c r="AI7" s="1"/>
    </row>
    <row r="8" ht="48.75" customHeight="true">
      <c r="A8" s="1"/>
      <c r="B8" s="12" t="n">
        <v>1</v>
      </c>
      <c r="C8" s="12"/>
      <c r="D8" s="14" t="s">
        <v>16</v>
      </c>
      <c r="E8" s="14"/>
      <c r="F8" s="14"/>
      <c r="G8" s="14"/>
      <c r="H8" s="14"/>
      <c r="I8" s="14"/>
      <c r="J8" s="14"/>
      <c r="K8" s="14"/>
      <c r="L8" s="14"/>
      <c r="M8" s="19" t="s">
        <v>17</v>
      </c>
      <c r="N8" s="19"/>
      <c r="O8" s="19"/>
      <c r="P8" s="19"/>
      <c r="Q8" s="19"/>
      <c r="R8" s="19"/>
      <c r="S8" s="19"/>
      <c r="T8" s="19"/>
      <c r="U8" s="19"/>
      <c r="V8" s="19"/>
      <c r="W8" s="19"/>
      <c r="X8" s="19"/>
      <c r="Y8" s="19"/>
      <c r="Z8" s="19"/>
      <c r="AA8" s="20" t="s">
        <v>18</v>
      </c>
      <c r="AB8" s="20"/>
      <c r="AC8" s="20"/>
      <c r="AD8" s="20"/>
      <c r="AE8" s="20"/>
      <c r="AF8" s="20"/>
      <c r="AG8" s="20"/>
      <c r="AH8" s="20"/>
      <c r="AI8" s="1"/>
    </row>
    <row r="9" ht="48.75" customHeight="true">
      <c r="A9" s="1"/>
      <c r="B9" s="12" t="n">
        <v>2</v>
      </c>
      <c r="C9" s="12"/>
      <c r="D9" s="14" t="s">
        <v>19</v>
      </c>
      <c r="E9" s="14"/>
      <c r="F9" s="14"/>
      <c r="G9" s="14"/>
      <c r="H9" s="14"/>
      <c r="I9" s="14"/>
      <c r="J9" s="14"/>
      <c r="K9" s="14"/>
      <c r="L9" s="14"/>
      <c r="M9" s="19" t="s">
        <v>20</v>
      </c>
      <c r="N9" s="19"/>
      <c r="O9" s="19"/>
      <c r="P9" s="19"/>
      <c r="Q9" s="19"/>
      <c r="R9" s="19"/>
      <c r="S9" s="19"/>
      <c r="T9" s="19"/>
      <c r="U9" s="19"/>
      <c r="V9" s="19"/>
      <c r="W9" s="19"/>
      <c r="X9" s="19"/>
      <c r="Y9" s="19"/>
      <c r="Z9" s="19"/>
      <c r="AA9" s="20" t="s">
        <v>18</v>
      </c>
      <c r="AB9" s="20"/>
      <c r="AC9" s="20"/>
      <c r="AD9" s="20"/>
      <c r="AE9" s="20"/>
      <c r="AF9" s="20"/>
      <c r="AG9" s="20"/>
      <c r="AH9" s="20"/>
      <c r="AI9" s="1"/>
    </row>
    <row r="10" ht="49.5" customHeight="true">
      <c r="A10" s="1"/>
      <c r="B10" s="12" t="n">
        <v>3</v>
      </c>
      <c r="C10" s="12"/>
      <c r="D10" s="14" t="s">
        <v>21</v>
      </c>
      <c r="E10" s="14"/>
      <c r="F10" s="14"/>
      <c r="G10" s="14"/>
      <c r="H10" s="14"/>
      <c r="I10" s="14"/>
      <c r="J10" s="14"/>
      <c r="K10" s="14"/>
      <c r="L10" s="14"/>
      <c r="M10" s="19" t="s">
        <v>22</v>
      </c>
      <c r="N10" s="19"/>
      <c r="O10" s="19"/>
      <c r="P10" s="19"/>
      <c r="Q10" s="19"/>
      <c r="R10" s="19"/>
      <c r="S10" s="19"/>
      <c r="T10" s="19"/>
      <c r="U10" s="19"/>
      <c r="V10" s="19"/>
      <c r="W10" s="19"/>
      <c r="X10" s="19"/>
      <c r="Y10" s="19"/>
      <c r="Z10" s="19"/>
      <c r="AA10" s="20" t="s">
        <v>18</v>
      </c>
      <c r="AB10" s="20"/>
      <c r="AC10" s="20"/>
      <c r="AD10" s="20"/>
      <c r="AE10" s="20"/>
      <c r="AF10" s="20"/>
      <c r="AG10" s="20"/>
      <c r="AH10" s="20"/>
      <c r="AI10" s="1"/>
    </row>
    <row r="11" ht="49.5" customHeight="true">
      <c r="A11" s="1"/>
      <c r="B11" s="12" t="n">
        <v>4</v>
      </c>
      <c r="C11" s="12"/>
      <c r="D11" s="14" t="s">
        <v>23</v>
      </c>
      <c r="E11" s="14"/>
      <c r="F11" s="14"/>
      <c r="G11" s="14"/>
      <c r="H11" s="14"/>
      <c r="I11" s="14"/>
      <c r="J11" s="14"/>
      <c r="K11" s="14"/>
      <c r="L11" s="14"/>
      <c r="M11" s="19" t="s">
        <v>24</v>
      </c>
      <c r="N11" s="19"/>
      <c r="O11" s="19"/>
      <c r="P11" s="19"/>
      <c r="Q11" s="19"/>
      <c r="R11" s="19"/>
      <c r="S11" s="19"/>
      <c r="T11" s="19"/>
      <c r="U11" s="19"/>
      <c r="V11" s="19"/>
      <c r="W11" s="19"/>
      <c r="X11" s="19"/>
      <c r="Y11" s="19"/>
      <c r="Z11" s="19"/>
      <c r="AA11" s="20" t="s">
        <v>18</v>
      </c>
      <c r="AB11" s="20"/>
      <c r="AC11" s="20"/>
      <c r="AD11" s="20"/>
      <c r="AE11" s="20"/>
      <c r="AF11" s="20"/>
      <c r="AG11" s="20"/>
      <c r="AH11" s="20"/>
      <c r="AI11" s="1"/>
    </row>
    <row r="12" ht="26.25" customHeight="true">
      <c r="A12" s="1"/>
      <c r="B12" s="12" t="s">
        <v>12</v>
      </c>
      <c r="C12" s="12"/>
      <c r="D12" s="14" t="s">
        <v>25</v>
      </c>
      <c r="E12" s="14"/>
      <c r="F12" s="14"/>
      <c r="G12" s="14"/>
      <c r="H12" s="14"/>
      <c r="I12" s="14"/>
      <c r="J12" s="14"/>
      <c r="K12" s="14"/>
      <c r="L12" s="14"/>
      <c r="M12" s="14" t="s">
        <v>26</v>
      </c>
      <c r="N12" s="14"/>
      <c r="O12" s="14"/>
      <c r="P12" s="14"/>
      <c r="Q12" s="14" t="s">
        <v>27</v>
      </c>
      <c r="R12" s="14"/>
      <c r="S12" s="14"/>
      <c r="T12" s="14"/>
      <c r="U12" s="14"/>
      <c r="V12" s="14"/>
      <c r="W12" s="14"/>
      <c r="X12" s="14"/>
      <c r="Y12" s="14"/>
      <c r="Z12" s="14"/>
      <c r="AA12" s="18" t="s">
        <v>28</v>
      </c>
      <c r="AB12" s="18"/>
      <c r="AC12" s="18"/>
      <c r="AD12" s="18"/>
      <c r="AE12" s="18"/>
      <c r="AF12" s="18"/>
      <c r="AG12" s="18"/>
      <c r="AH12" s="18"/>
      <c r="AI12" s="1"/>
    </row>
    <row r="13" ht="39" customHeight="true">
      <c r="A13" s="1"/>
      <c r="B13" s="12" t="n">
        <v>1</v>
      </c>
      <c r="C13" s="12"/>
      <c r="D13" s="14" t="s">
        <v>29</v>
      </c>
      <c r="E13" s="14"/>
      <c r="F13" s="14"/>
      <c r="G13" s="14"/>
      <c r="H13" s="14"/>
      <c r="I13" s="14"/>
      <c r="J13" s="14"/>
      <c r="K13" s="14"/>
      <c r="L13" s="14"/>
      <c r="M13" s="13" t="s">
        <v>30</v>
      </c>
      <c r="N13" s="13"/>
      <c r="O13" s="13"/>
      <c r="P13" s="13"/>
      <c r="Q13" s="21">
        <v>27</v>
      </c>
      <c r="R13" s="21">
        <v>-9</v>
      </c>
      <c r="S13" s="21">
        <v>-14</v>
      </c>
      <c r="T13" s="21">
        <v>-38</v>
      </c>
      <c r="U13" s="21">
        <v>19</v>
      </c>
      <c r="V13" s="21">
        <v>-21</v>
      </c>
      <c r="W13" s="21">
        <v>23</v>
      </c>
      <c r="X13" s="21">
        <v>10</v>
      </c>
      <c r="Y13" s="21">
        <v>15</v>
      </c>
      <c r="Z13" s="21">
        <v>-32</v>
      </c>
      <c r="AA13" s="22" t="e">
        <f>(COUNTIF(Q13:Z13,"&gt;=-30")-COUNTIF(Q13:Z13,"&gt;30"))/COUNT(Q13:Z13)</f>
        <v>#DIV/0!</v>
      </c>
      <c r="AB13" s="22"/>
      <c r="AC13" s="22"/>
      <c r="AD13" s="22"/>
      <c r="AE13" s="22"/>
      <c r="AF13" s="22"/>
      <c r="AG13" s="22"/>
      <c r="AH13" s="22"/>
      <c r="AI13" s="1"/>
    </row>
    <row r="14" ht="36.95" customHeight="true">
      <c r="A14" s="1"/>
      <c r="B14" s="12" t="n">
        <v>2</v>
      </c>
      <c r="C14" s="12"/>
      <c r="D14" s="14" t="s">
        <v>32</v>
      </c>
      <c r="E14" s="14"/>
      <c r="F14" s="14"/>
      <c r="G14" s="14"/>
      <c r="H14" s="14"/>
      <c r="I14" s="14"/>
      <c r="J14" s="14"/>
      <c r="K14" s="14"/>
      <c r="L14" s="14"/>
      <c r="M14" s="13" t="s">
        <v>33</v>
      </c>
      <c r="N14" s="13"/>
      <c r="O14" s="13"/>
      <c r="P14" s="13"/>
      <c r="Q14" s="21">
        <v>-1</v>
      </c>
      <c r="R14" s="21">
        <v>53</v>
      </c>
      <c r="S14" s="21">
        <v>-70</v>
      </c>
      <c r="T14" s="21">
        <v>45</v>
      </c>
      <c r="U14" s="21">
        <v>58</v>
      </c>
      <c r="V14" s="21">
        <v>32</v>
      </c>
      <c r="W14" s="21">
        <v>64</v>
      </c>
      <c r="X14" s="21">
        <v>2</v>
      </c>
      <c r="Y14" s="21">
        <v>-15</v>
      </c>
      <c r="Z14" s="21">
        <v>-42</v>
      </c>
      <c r="AA14" s="22" t="e">
        <f>(COUNTIF(Q14:Z14,"&gt;=-80")-COUNTIF(Q14:Z14,"&gt;80"))/COUNT(Q14:Z14)</f>
        <v>#DIV/0!</v>
      </c>
      <c r="AB14" s="22"/>
      <c r="AC14" s="22"/>
      <c r="AD14" s="22"/>
      <c r="AE14" s="22"/>
      <c r="AF14" s="22"/>
      <c r="AG14" s="22"/>
      <c r="AH14" s="22"/>
      <c r="AI14" s="1"/>
    </row>
    <row r="15" ht="36.95" customHeight="true">
      <c r="A15" s="1"/>
      <c r="B15" s="12" t="n">
        <v>3</v>
      </c>
      <c r="C15" s="12"/>
      <c r="D15" s="14" t="s">
        <v>35</v>
      </c>
      <c r="E15" s="14"/>
      <c r="F15" s="14"/>
      <c r="G15" s="14"/>
      <c r="H15" s="14"/>
      <c r="I15" s="14"/>
      <c r="J15" s="14"/>
      <c r="K15" s="14"/>
      <c r="L15" s="14"/>
      <c r="M15" s="13" t="s">
        <v>36</v>
      </c>
      <c r="N15" s="13"/>
      <c r="O15" s="13"/>
      <c r="P15" s="13"/>
      <c r="Q15" s="21">
        <v>45</v>
      </c>
      <c r="R15" s="21">
        <v>-29</v>
      </c>
      <c r="S15" s="21">
        <v>10</v>
      </c>
      <c r="T15" s="21">
        <v>-45</v>
      </c>
      <c r="U15" s="21">
        <v>32</v>
      </c>
      <c r="V15" s="21">
        <v>32</v>
      </c>
      <c r="W15" s="21">
        <v>41</v>
      </c>
      <c r="X15" s="21">
        <v>6</v>
      </c>
      <c r="Y15" s="21">
        <v>-11</v>
      </c>
      <c r="Z15" s="21">
        <v>-35</v>
      </c>
      <c r="AA15" s="22" t="e">
        <f>(COUNTIF(Q15:Z15,"&gt;=-50")-COUNTIF(Q15:Z15,"&gt;50"))/COUNT(Q15:Z15)</f>
        <v>#DIV/0!</v>
      </c>
      <c r="AB15" s="22"/>
      <c r="AC15" s="22"/>
      <c r="AD15" s="22"/>
      <c r="AE15" s="22"/>
      <c r="AF15" s="22"/>
      <c r="AG15" s="22"/>
      <c r="AH15" s="22"/>
      <c r="AI15" s="1"/>
    </row>
    <row r="16" ht="26.25" customHeight="true">
      <c r="A16" s="1"/>
      <c r="B16" s="23" t="s">
        <v>38</v>
      </c>
      <c r="C16" s="23"/>
      <c r="D16" s="23"/>
      <c r="E16" s="24" t="s">
        <v>39</v>
      </c>
      <c r="F16" s="24"/>
      <c r="G16" s="25" t="s">
        <v>40</v>
      </c>
      <c r="H16" s="25"/>
      <c r="I16" s="25"/>
      <c r="J16" s="25"/>
      <c r="K16" s="24" t="e">
        <f>SUM(AA13:AH15)*10</f>
        <v>#DIV/0!</v>
      </c>
      <c r="L16" s="24"/>
      <c r="M16" s="26" t="s">
        <v>41</v>
      </c>
      <c r="N16" s="26"/>
      <c r="O16" s="26"/>
      <c r="P16" s="26"/>
      <c r="Q16" s="27" t="e">
        <f>AVERAGE(AA13:AH15)*100</f>
        <v>#DIV/0!</v>
      </c>
      <c r="R16" s="27"/>
      <c r="S16" s="28" t="s">
        <v>42</v>
      </c>
      <c r="T16" s="28"/>
      <c r="U16" s="28"/>
      <c r="V16" s="28"/>
      <c r="W16" s="28"/>
      <c r="X16" s="28"/>
      <c r="Y16" s="28"/>
      <c r="Z16" s="28"/>
      <c r="AA16" s="28"/>
      <c r="AB16" s="28"/>
      <c r="AC16" s="28"/>
      <c r="AD16" s="28"/>
      <c r="AE16" s="28"/>
      <c r="AF16" s="28"/>
      <c r="AG16" s="28"/>
      <c r="AH16" s="28"/>
      <c r="AI16" s="1"/>
    </row>
    <row r="17" ht="3.75" customHeight="true">
      <c r="A17" s="1"/>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1"/>
    </row>
    <row r="18" ht="21" customHeight="true">
      <c r="A18" s="1"/>
      <c r="B18" s="30" t="s">
        <v>43</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1"/>
    </row>
    <row r="19" ht="26.25" customHeight="true">
      <c r="A19" s="1"/>
      <c r="B19" s="31"/>
      <c r="C19" s="31"/>
      <c r="D19" s="31"/>
      <c r="E19" s="31"/>
      <c r="F19" s="31"/>
      <c r="G19" s="31"/>
      <c r="H19" s="32" t="s">
        <v>44</v>
      </c>
      <c r="I19" s="33" t="s">
        <v>45</v>
      </c>
      <c r="J19" s="33"/>
      <c r="K19" s="33"/>
      <c r="L19" s="33"/>
      <c r="M19" s="32" t="s">
        <v>44</v>
      </c>
      <c r="N19" s="34" t="s">
        <v>46</v>
      </c>
      <c r="O19" s="34"/>
      <c r="P19" s="34"/>
      <c r="Q19" s="35"/>
      <c r="R19" s="35"/>
      <c r="S19" s="35"/>
      <c r="T19" s="35"/>
      <c r="U19" s="35"/>
      <c r="V19" s="35"/>
      <c r="W19" s="35"/>
      <c r="X19" s="35"/>
      <c r="Y19" s="35"/>
      <c r="Z19" s="35"/>
      <c r="AA19" s="35"/>
      <c r="AB19" s="35"/>
      <c r="AC19" s="35"/>
      <c r="AD19" s="35"/>
      <c r="AE19" s="35"/>
      <c r="AF19" s="35"/>
      <c r="AG19" s="35"/>
      <c r="AH19" s="35"/>
      <c r="AI19" s="1"/>
    </row>
    <row r="20" ht="26.25" customHeight="true">
      <c r="A20" s="1"/>
      <c r="B20" s="12" t="s">
        <v>47</v>
      </c>
      <c r="C20" s="12"/>
      <c r="D20" s="12"/>
      <c r="E20" s="12"/>
      <c r="F20" s="12"/>
      <c r="G20" s="12"/>
      <c r="H20" s="12"/>
      <c r="I20" s="12"/>
      <c r="J20" s="12"/>
      <c r="K20" s="12"/>
      <c r="L20" s="12"/>
      <c r="M20" s="12"/>
      <c r="N20" s="12"/>
      <c r="O20" s="12"/>
      <c r="P20" s="12"/>
      <c r="Q20" s="12"/>
      <c r="R20" s="18" t="s">
        <v>48</v>
      </c>
      <c r="S20" s="18"/>
      <c r="T20" s="18"/>
      <c r="U20" s="18"/>
      <c r="V20" s="18"/>
      <c r="W20" s="18"/>
      <c r="X20" s="18"/>
      <c r="Y20" s="18"/>
      <c r="Z20" s="18"/>
      <c r="AA20" s="18"/>
      <c r="AB20" s="18"/>
      <c r="AC20" s="18"/>
      <c r="AD20" s="18"/>
      <c r="AE20" s="18"/>
      <c r="AF20" s="18"/>
      <c r="AG20" s="18"/>
      <c r="AH20" s="18"/>
      <c r="AI20" s="1"/>
    </row>
    <row r="21" ht="26.25" customHeight="true">
      <c r="A21" s="1"/>
      <c r="B21" s="36" t="s">
        <v>49</v>
      </c>
      <c r="C21" s="36"/>
      <c r="D21" s="36"/>
      <c r="E21" s="37"/>
      <c r="F21" s="37"/>
      <c r="G21" s="37"/>
      <c r="H21" s="37"/>
      <c r="I21" s="37"/>
      <c r="J21" s="37"/>
      <c r="K21" s="37"/>
      <c r="L21" s="37"/>
      <c r="M21" s="37"/>
      <c r="N21" s="37"/>
      <c r="O21" s="37"/>
      <c r="P21" s="37"/>
      <c r="Q21" s="37"/>
      <c r="R21" s="38" t="s">
        <v>50</v>
      </c>
      <c r="S21" s="38"/>
      <c r="T21" s="38"/>
      <c r="U21" s="38"/>
      <c r="V21" s="39"/>
      <c r="W21" s="39"/>
      <c r="X21" s="39"/>
      <c r="Y21" s="39"/>
      <c r="Z21" s="39"/>
      <c r="AA21" s="39"/>
      <c r="AB21" s="39"/>
      <c r="AC21" s="39"/>
      <c r="AD21" s="39"/>
      <c r="AE21" s="39"/>
      <c r="AF21" s="39"/>
      <c r="AG21" s="39"/>
      <c r="AH21" s="39"/>
      <c r="AI21" s="1"/>
    </row>
    <row r="22" ht="26.25" customHeight="true">
      <c r="A22" s="1"/>
      <c r="B22" s="40" t="s">
        <v>51</v>
      </c>
      <c r="C22" s="40"/>
      <c r="D22" s="40"/>
      <c r="E22" s="40"/>
      <c r="F22" s="40"/>
      <c r="G22" s="40"/>
      <c r="H22" s="40"/>
      <c r="I22" s="41"/>
      <c r="J22" s="41"/>
      <c r="K22" s="41"/>
      <c r="L22" s="41"/>
      <c r="M22" s="41"/>
      <c r="N22" s="41"/>
      <c r="O22" s="41"/>
      <c r="P22" s="41"/>
      <c r="Q22" s="41"/>
      <c r="R22" s="42"/>
      <c r="S22" s="42"/>
      <c r="T22" s="42"/>
      <c r="U22" s="42"/>
      <c r="V22" s="42"/>
      <c r="W22" s="42"/>
      <c r="X22" s="42"/>
      <c r="Y22" s="42"/>
      <c r="Z22" s="42"/>
      <c r="AA22" s="42"/>
      <c r="AB22" s="42"/>
      <c r="AC22" s="42"/>
      <c r="AD22" s="42"/>
      <c r="AE22" s="42"/>
      <c r="AF22" s="42"/>
      <c r="AG22" s="42"/>
      <c r="AH22" s="42"/>
      <c r="AI22" s="1"/>
    </row>
    <row r="23" ht="26.25" customHeight="true">
      <c r="A23" s="1"/>
      <c r="B23" s="43"/>
      <c r="C23" s="43"/>
      <c r="D23" s="43"/>
      <c r="E23" s="43"/>
      <c r="F23" s="43"/>
      <c r="G23" s="43"/>
      <c r="H23" s="43"/>
      <c r="I23" s="43"/>
      <c r="J23" s="44" t="s">
        <v>9</v>
      </c>
      <c r="K23" s="44"/>
      <c r="L23" s="44"/>
      <c r="M23" s="44"/>
      <c r="N23" s="44"/>
      <c r="O23" s="44"/>
      <c r="P23" s="44"/>
      <c r="Q23" s="44"/>
      <c r="R23" s="45"/>
      <c r="S23" s="45"/>
      <c r="T23" s="45"/>
      <c r="U23" s="45"/>
      <c r="V23" s="45"/>
      <c r="W23" s="45"/>
      <c r="X23" s="45"/>
      <c r="Y23" s="45"/>
      <c r="Z23" s="46" t="s">
        <v>9</v>
      </c>
      <c r="AA23" s="46"/>
      <c r="AB23" s="46"/>
      <c r="AC23" s="46"/>
      <c r="AD23" s="46"/>
      <c r="AE23" s="46"/>
      <c r="AF23" s="46"/>
      <c r="AG23" s="46"/>
      <c r="AH23" s="46"/>
      <c r="AI23" s="1"/>
    </row>
    <row r="24" ht="22.5" customHeight="true">
      <c r="A24" s="1"/>
      <c r="B24" s="7" t="s">
        <v>52</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1"/>
    </row>
    <row r="25" ht="3.75" customHeight="true">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85">
    <mergeCell ref="A1:A25"/>
    <mergeCell ref="B1:AH1"/>
    <mergeCell ref="AI1:AI25"/>
    <mergeCell ref="J2:P2"/>
    <mergeCell ref="Q2:AA2"/>
    <mergeCell ref="B3:E3"/>
    <mergeCell ref="F3:T3"/>
    <mergeCell ref="Z3:AH3"/>
    <mergeCell ref="B4:L4"/>
    <mergeCell ref="M4:V4"/>
    <mergeCell ref="W4:Z4"/>
    <mergeCell ref="AA4:AH4"/>
    <mergeCell ref="B5:L5"/>
    <mergeCell ref="M5:V5"/>
    <mergeCell ref="W5:Z5"/>
    <mergeCell ref="AA5:AH5"/>
    <mergeCell ref="B6:L6"/>
    <mergeCell ref="M6:X6"/>
    <mergeCell ref="Y6:AH6"/>
    <mergeCell ref="B7:C7"/>
    <mergeCell ref="D7:L7"/>
    <mergeCell ref="M7:Z7"/>
    <mergeCell ref="AA7:AH7"/>
    <mergeCell ref="B8:C8"/>
    <mergeCell ref="D8:L8"/>
    <mergeCell ref="M8:Z8"/>
    <mergeCell ref="AA8:AH8"/>
    <mergeCell ref="B9:C9"/>
    <mergeCell ref="D9:L9"/>
    <mergeCell ref="M9:Z9"/>
    <mergeCell ref="AA9:AH9"/>
    <mergeCell ref="B10:C10"/>
    <mergeCell ref="D10:L10"/>
    <mergeCell ref="M10:Z10"/>
    <mergeCell ref="AA10:AH10"/>
    <mergeCell ref="B11:C11"/>
    <mergeCell ref="D11:L11"/>
    <mergeCell ref="M11:Z11"/>
    <mergeCell ref="AA11:AH11"/>
    <mergeCell ref="B12:C12"/>
    <mergeCell ref="D12:L12"/>
    <mergeCell ref="M12:P12"/>
    <mergeCell ref="Q12:Z12"/>
    <mergeCell ref="AA12:AH12"/>
    <mergeCell ref="B13:C13"/>
    <mergeCell ref="D13:L13"/>
    <mergeCell ref="M13:P13"/>
    <mergeCell ref="AA13:AH13"/>
    <mergeCell ref="B14:C14"/>
    <mergeCell ref="D14:L14"/>
    <mergeCell ref="M14:P14"/>
    <mergeCell ref="AA14:AH14"/>
    <mergeCell ref="B15:C15"/>
    <mergeCell ref="D15:L15"/>
    <mergeCell ref="M15:P15"/>
    <mergeCell ref="AA15:AH15"/>
    <mergeCell ref="B16:D16"/>
    <mergeCell ref="E16:F16"/>
    <mergeCell ref="G16:J16"/>
    <mergeCell ref="K16:L16"/>
    <mergeCell ref="M16:P16"/>
    <mergeCell ref="Q16:R16"/>
    <mergeCell ref="S16:AH16"/>
    <mergeCell ref="B17:AH17"/>
    <mergeCell ref="B18:AH18"/>
    <mergeCell ref="B19:G19"/>
    <mergeCell ref="I19:J19"/>
    <mergeCell ref="K19:L19"/>
    <mergeCell ref="N19:P19"/>
    <mergeCell ref="Q19:AH19"/>
    <mergeCell ref="B20:Q20"/>
    <mergeCell ref="R20:AH20"/>
    <mergeCell ref="B21:D21"/>
    <mergeCell ref="E21:Q21"/>
    <mergeCell ref="R21:U21"/>
    <mergeCell ref="V21:AH21"/>
    <mergeCell ref="B22:H22"/>
    <mergeCell ref="I22:Q22"/>
    <mergeCell ref="R22:AH22"/>
    <mergeCell ref="B23:I23"/>
    <mergeCell ref="J23:Q23"/>
    <mergeCell ref="R23:Y23"/>
    <mergeCell ref="Z23:AH23"/>
    <mergeCell ref="B24:AH24"/>
    <mergeCell ref="B25:AH25"/>
  </mergeCells>
  <printOptions gridLinesSet="true"/>
  <pageMargins left="0.75" right="0.159722222222222" top="1" bottom="0.209722222222222" header="0.511805555555555" footer="0.511805555555555"/>
  <pageSetup cellComments="none" copies="1" firstPageNumber="0" fitToHeight="1" fitToWidth="1" horizontalDpi="300" orientation="portrait" pageOrder="downThenOver" paperSize="9" scale="95" verticalDpi="300"/>
  <headerFooter/>
</worksheet>
</file>

<file path=xl/worksheets/sheet2.xml><?xml version="1.0" encoding="utf-8"?>
<worksheet xmlns="http://schemas.openxmlformats.org/spreadsheetml/2006/main" xmlns:r="http://schemas.openxmlformats.org/officeDocument/2006/relationships">
  <sheetPr>
    <pageSetUpPr fitToPage="true"/>
  </sheetPr>
  <dimension ref="A1:Q46"/>
  <sheetViews>
    <sheetView showGridLines="true" showRowColHeaders="true" showZeros="true" showOutlineSymbols="true" defaultGridColor="true" view="pageBreakPreview" topLeftCell="A1" colorId="64" zoomScale="100" zoomScaleNormal="100" zoomScalePageLayoutView="100" workbookViewId="0">
      <selection activeCell="I9" activeCellId="0" pane="topLeft" sqref="I9"/>
    </sheetView>
  </sheetViews>
  <sheetFormatPr defaultRowHeight="13.5"/>
  <cols>
    <col customWidth="true" max="1" min="1" style="47" width="3.91"/>
    <col customWidth="true" max="2" min="2" style="47" width="5.06"/>
    <col customWidth="true" max="3" min="3" style="47" width="11.76"/>
    <col customWidth="true" max="4" min="4" style="47" width="5.55"/>
    <col customWidth="true" max="5" min="5" style="47" width="14.69"/>
    <col customWidth="true" max="6" min="6" style="47" width="14.86"/>
    <col customWidth="true" max="7" min="7" style="47" width="11.76"/>
    <col customWidth="true" max="8" min="8" style="47" width="5.55"/>
    <col customWidth="true" max="14" min="9" style="47" width="4.73"/>
    <col customWidth="true" max="16" min="15" style="47" width="9.63"/>
    <col customWidth="true" max="1025" min="17" style="47" width="11.76"/>
  </cols>
  <sheetData>
    <row r="1" ht="18.75">
      <c r="A1" s="48" t="s">
        <v>53</v>
      </c>
      <c r="B1" s="48"/>
      <c r="C1" s="48"/>
      <c r="D1" s="48"/>
      <c r="E1" s="48"/>
      <c r="F1" s="48"/>
      <c r="G1" s="48"/>
      <c r="H1" s="48"/>
      <c r="I1" s="48"/>
      <c r="J1" s="48"/>
      <c r="K1" s="48"/>
      <c r="L1" s="48"/>
      <c r="M1" s="48"/>
      <c r="N1" s="48"/>
      <c r="O1" s="48"/>
      <c r="P1" s="48"/>
    </row>
    <row r="2" ht="18.75">
      <c r="A2" s="49" t="s">
        <v>54</v>
      </c>
      <c r="B2" s="49"/>
      <c r="C2" s="49"/>
      <c r="D2" s="49"/>
      <c r="E2" s="49"/>
      <c r="F2" s="49"/>
      <c r="G2" s="49"/>
      <c r="H2" s="49"/>
      <c r="I2" s="49"/>
      <c r="J2" s="49"/>
      <c r="K2" s="49"/>
      <c r="L2" s="49"/>
      <c r="M2" s="49"/>
      <c r="N2" s="49"/>
      <c r="O2" s="49"/>
      <c r="P2" s="49"/>
    </row>
    <row r="3" ht="30.75" customHeight="true">
      <c r="A3" s="50" t="s">
        <v>55</v>
      </c>
      <c r="B3" s="50"/>
      <c r="C3" s="50"/>
      <c r="D3" s="51" t="str">
        <f>[2]普通混凝土单元!D3</f>
        <v>进水闸工程</v>
      </c>
      <c r="E3" s="51"/>
      <c r="F3" s="51"/>
      <c r="G3" s="51"/>
      <c r="H3" s="50" t="s">
        <v>56</v>
      </c>
      <c r="I3" s="50"/>
      <c r="J3" s="52" t="s">
        <v>57</v>
      </c>
      <c r="K3" s="52"/>
      <c r="L3" s="52"/>
      <c r="M3" s="52"/>
      <c r="N3" s="52"/>
      <c r="O3" s="52"/>
      <c r="P3" s="52"/>
      <c r="Q3" s="53"/>
    </row>
    <row r="4" ht="30.75" customHeight="true">
      <c r="A4" s="50" t="s">
        <v>58</v>
      </c>
      <c r="B4" s="50"/>
      <c r="C4" s="50"/>
      <c r="D4" s="54" t="str">
        <f>[2]普通混凝土单元!D4</f>
        <v>闸室段</v>
      </c>
      <c r="E4" s="54"/>
      <c r="F4" s="54"/>
      <c r="G4" s="54"/>
      <c r="H4" s="50" t="s">
        <v>59</v>
      </c>
      <c r="I4" s="50"/>
      <c r="J4" s="55" t="s">
        <v>60</v>
      </c>
      <c r="K4" s="55"/>
      <c r="L4" s="55"/>
      <c r="M4" s="55"/>
      <c r="N4" s="55"/>
      <c r="O4" s="55"/>
      <c r="P4" s="55"/>
      <c r="Q4" s="53"/>
    </row>
    <row r="5" ht="30.75" customHeight="true">
      <c r="A5" s="50" t="s">
        <v>61</v>
      </c>
      <c r="B5" s="50"/>
      <c r="C5" s="50"/>
      <c r="D5" s="51" t="str">
        <f>[2]普通混凝土单元!D5</f>
        <v>2#闸墩，▽152.500～154.500m</v>
      </c>
      <c r="E5" s="51"/>
      <c r="F5" s="51"/>
      <c r="G5" s="51"/>
      <c r="H5" s="50" t="s">
        <v>62</v>
      </c>
      <c r="I5" s="50"/>
      <c r="J5" s="50" t="s">
        <v>63</v>
      </c>
      <c r="K5" s="50"/>
      <c r="L5" s="50"/>
      <c r="M5" s="50"/>
      <c r="N5" s="50"/>
      <c r="O5" s="50"/>
      <c r="P5" s="50"/>
    </row>
    <row r="6" ht="17.25" customHeight="true">
      <c r="A6" s="50" t="s">
        <v>12</v>
      </c>
      <c r="B6" s="50"/>
      <c r="C6" s="50" t="s">
        <v>64</v>
      </c>
      <c r="D6" s="50"/>
      <c r="E6" s="50"/>
      <c r="F6" s="50" t="s">
        <v>65</v>
      </c>
      <c r="G6" s="50"/>
      <c r="H6" s="50"/>
      <c r="I6" s="50" t="s">
        <v>66</v>
      </c>
      <c r="J6" s="50"/>
      <c r="K6" s="50"/>
      <c r="L6" s="50"/>
      <c r="M6" s="50"/>
      <c r="N6" s="50"/>
      <c r="O6" s="50" t="s">
        <v>67</v>
      </c>
      <c r="P6" s="50" t="s">
        <v>68</v>
      </c>
    </row>
    <row r="7" ht="42" customHeight="true">
      <c r="A7" s="50" t="s">
        <v>69</v>
      </c>
      <c r="B7" s="50" t="n">
        <v>1</v>
      </c>
      <c r="C7" s="50" t="s">
        <v>70</v>
      </c>
      <c r="D7" s="50"/>
      <c r="E7" s="50"/>
      <c r="F7" s="56" t="s">
        <v>71</v>
      </c>
      <c r="G7" s="56"/>
      <c r="H7" s="56"/>
      <c r="I7" s="57" t="s">
        <v>72</v>
      </c>
      <c r="J7" s="57"/>
      <c r="K7" s="57"/>
      <c r="L7" s="57"/>
      <c r="M7" s="57"/>
      <c r="N7" s="57"/>
      <c r="O7" s="58" t="s">
        <v>57</v>
      </c>
      <c r="P7" s="59" t="n">
        <v>1</v>
      </c>
    </row>
    <row r="8" ht="15.75" customHeight="true">
      <c r="A8" s="50"/>
      <c r="B8" s="50" t="n">
        <v>2</v>
      </c>
      <c r="C8" s="50" t="s">
        <v>73</v>
      </c>
      <c r="D8" s="50"/>
      <c r="E8" s="50"/>
      <c r="F8" s="56" t="s">
        <v>74</v>
      </c>
      <c r="G8" s="56"/>
      <c r="H8" s="56"/>
      <c r="I8" s="60" t="s">
        <v>57</v>
      </c>
      <c r="J8" s="60"/>
      <c r="K8" s="60"/>
      <c r="L8" s="60"/>
      <c r="M8" s="60"/>
      <c r="N8" s="60"/>
      <c r="O8" s="58" t="s">
        <v>57</v>
      </c>
      <c r="P8" s="59" t="s">
        <v>57</v>
      </c>
    </row>
    <row r="9" ht="24.95" customHeight="true">
      <c r="A9" s="50"/>
      <c r="B9" s="52" t="n">
        <v>3</v>
      </c>
      <c r="C9" s="50" t="s">
        <v>75</v>
      </c>
      <c r="D9" s="50"/>
      <c r="E9" s="50" t="s">
        <v>76</v>
      </c>
      <c r="F9" s="61" t="s">
        <v>77</v>
      </c>
      <c r="G9" s="61"/>
      <c r="H9" s="61"/>
      <c r="I9" s="62" t="s">
        <v>157</v>
      </c>
      <c r="J9" s="62"/>
      <c r="K9" s="62"/>
      <c r="L9" s="62"/>
      <c r="M9" s="62"/>
      <c r="N9" s="62"/>
      <c r="O9" s="63" t="n">
        <v>20</v>
      </c>
      <c r="P9" s="64" t="n">
        <v>1</v>
      </c>
    </row>
    <row r="10" ht="24" customHeight="true">
      <c r="A10" s="50"/>
      <c r="B10" s="52"/>
      <c r="C10" s="50"/>
      <c r="D10" s="50"/>
      <c r="E10" s="50"/>
      <c r="F10" s="61"/>
      <c r="G10" s="61"/>
      <c r="H10" s="61"/>
      <c r="I10" s="62"/>
      <c r="J10" s="62"/>
      <c r="K10" s="62"/>
      <c r="L10" s="62"/>
      <c r="M10" s="62"/>
      <c r="N10" s="62"/>
      <c r="O10" s="63"/>
      <c r="P10" s="64"/>
    </row>
    <row r="11" ht="26.1" customHeight="true">
      <c r="A11" s="50"/>
      <c r="B11" s="52"/>
      <c r="C11" s="50"/>
      <c r="D11" s="50"/>
      <c r="E11" s="50" t="s">
        <v>79</v>
      </c>
      <c r="F11" s="61" t="s">
        <v>77</v>
      </c>
      <c r="G11" s="61"/>
      <c r="H11" s="61"/>
      <c r="I11" s="65" t="s">
        <v>80</v>
      </c>
      <c r="J11" s="65"/>
      <c r="K11" s="65"/>
      <c r="L11" s="65"/>
      <c r="M11" s="65"/>
      <c r="N11" s="65"/>
      <c r="O11" s="63" t="n">
        <v>20</v>
      </c>
      <c r="P11" s="64" t="n">
        <v>1</v>
      </c>
    </row>
    <row r="12" ht="26.1" customHeight="true">
      <c r="A12" s="50"/>
      <c r="B12" s="52"/>
      <c r="C12" s="50"/>
      <c r="D12" s="50"/>
      <c r="E12" s="50"/>
      <c r="F12" s="61"/>
      <c r="G12" s="61"/>
      <c r="H12" s="61"/>
      <c r="I12" s="65"/>
      <c r="J12" s="65"/>
      <c r="K12" s="65"/>
      <c r="L12" s="65"/>
      <c r="M12" s="65"/>
      <c r="N12" s="65"/>
      <c r="O12" s="63"/>
      <c r="P12" s="64"/>
    </row>
    <row r="13" ht="21.95" customHeight="true">
      <c r="A13" s="50"/>
      <c r="B13" s="52"/>
      <c r="C13" s="50"/>
      <c r="D13" s="50"/>
      <c r="E13" s="50" t="s">
        <v>81</v>
      </c>
      <c r="F13" s="61" t="s">
        <v>82</v>
      </c>
      <c r="G13" s="61"/>
      <c r="H13" s="61"/>
      <c r="I13" s="57" t="s">
        <v>83</v>
      </c>
      <c r="J13" s="57"/>
      <c r="K13" s="57"/>
      <c r="L13" s="57"/>
      <c r="M13" s="57"/>
      <c r="N13" s="57"/>
      <c r="O13" s="63" t="n">
        <v>20</v>
      </c>
      <c r="P13" s="64" t="n">
        <v>1</v>
      </c>
    </row>
    <row r="14" ht="21.95" customHeight="true">
      <c r="A14" s="50"/>
      <c r="B14" s="52"/>
      <c r="C14" s="50"/>
      <c r="D14" s="50"/>
      <c r="E14" s="50"/>
      <c r="F14" s="61"/>
      <c r="G14" s="61"/>
      <c r="H14" s="61"/>
      <c r="I14" s="57"/>
      <c r="J14" s="57"/>
      <c r="K14" s="57"/>
      <c r="L14" s="57"/>
      <c r="M14" s="57"/>
      <c r="N14" s="57"/>
      <c r="O14" s="63"/>
      <c r="P14" s="64"/>
    </row>
    <row r="15" ht="72" customHeight="true">
      <c r="A15" s="50"/>
      <c r="B15" s="52" t="n">
        <v>4</v>
      </c>
      <c r="C15" s="56" t="s">
        <v>84</v>
      </c>
      <c r="D15" s="56"/>
      <c r="E15" s="50" t="s">
        <v>85</v>
      </c>
      <c r="F15" s="61" t="s">
        <v>86</v>
      </c>
      <c r="G15" s="61"/>
      <c r="H15" s="61"/>
      <c r="I15" s="66" t="s">
        <v>87</v>
      </c>
      <c r="J15" s="66"/>
      <c r="K15" s="66"/>
      <c r="L15" s="66"/>
      <c r="M15" s="66"/>
      <c r="N15" s="66"/>
      <c r="O15" s="63" t="n">
        <v>20</v>
      </c>
      <c r="P15" s="64" t="n">
        <v>1</v>
      </c>
    </row>
    <row r="16" ht="72" customHeight="true">
      <c r="A16" s="50"/>
      <c r="B16" s="50"/>
      <c r="C16" s="56"/>
      <c r="D16" s="56"/>
      <c r="E16" s="50"/>
      <c r="F16" s="61"/>
      <c r="G16" s="61"/>
      <c r="H16" s="61"/>
      <c r="I16" s="66"/>
      <c r="J16" s="66"/>
      <c r="K16" s="66"/>
      <c r="L16" s="66"/>
      <c r="M16" s="66"/>
      <c r="N16" s="66"/>
      <c r="O16" s="63"/>
      <c r="P16" s="64"/>
    </row>
    <row r="17" ht="15" customHeight="true">
      <c r="A17" s="50"/>
      <c r="B17" s="50"/>
      <c r="C17" s="56"/>
      <c r="D17" s="56"/>
      <c r="E17" s="50" t="s">
        <v>88</v>
      </c>
      <c r="F17" s="61" t="s">
        <v>89</v>
      </c>
      <c r="G17" s="61"/>
      <c r="H17" s="61"/>
      <c r="I17" s="58" t="s">
        <v>57</v>
      </c>
      <c r="J17" s="58"/>
      <c r="K17" s="58"/>
      <c r="L17" s="58"/>
      <c r="M17" s="58"/>
      <c r="N17" s="58"/>
      <c r="O17" s="67" t="s">
        <v>57</v>
      </c>
      <c r="P17" s="59" t="s">
        <v>57</v>
      </c>
    </row>
    <row r="18" ht="15" customHeight="true">
      <c r="A18" s="50"/>
      <c r="B18" s="50"/>
      <c r="C18" s="56"/>
      <c r="D18" s="56"/>
      <c r="E18" s="50"/>
      <c r="F18" s="61"/>
      <c r="G18" s="61"/>
      <c r="H18" s="61"/>
      <c r="I18" s="58"/>
      <c r="J18" s="58"/>
      <c r="K18" s="58"/>
      <c r="L18" s="58"/>
      <c r="M18" s="58"/>
      <c r="N18" s="58"/>
      <c r="O18" s="67"/>
      <c r="P18" s="59"/>
    </row>
    <row r="19" ht="81.95" customHeight="true">
      <c r="A19" s="50"/>
      <c r="B19" s="50" t="n">
        <v>5</v>
      </c>
      <c r="C19" s="56" t="s">
        <v>90</v>
      </c>
      <c r="D19" s="56"/>
      <c r="E19" s="50" t="s">
        <v>91</v>
      </c>
      <c r="F19" s="56" t="s">
        <v>92</v>
      </c>
      <c r="G19" s="56"/>
      <c r="H19" s="56"/>
      <c r="I19" s="66" t="s">
        <v>93</v>
      </c>
      <c r="J19" s="66"/>
      <c r="K19" s="66"/>
      <c r="L19" s="66"/>
      <c r="M19" s="66"/>
      <c r="N19" s="66"/>
      <c r="O19" s="62" t="n">
        <v>4</v>
      </c>
      <c r="P19" s="64" t="n">
        <v>1</v>
      </c>
    </row>
    <row r="20" ht="71.1" customHeight="true">
      <c r="A20" s="50"/>
      <c r="B20" s="50"/>
      <c r="C20" s="56"/>
      <c r="D20" s="56"/>
      <c r="E20" s="50" t="s">
        <v>94</v>
      </c>
      <c r="F20" s="56" t="s">
        <v>77</v>
      </c>
      <c r="G20" s="56"/>
      <c r="H20" s="56"/>
      <c r="I20" s="66" t="s">
        <v>95</v>
      </c>
      <c r="J20" s="66"/>
      <c r="K20" s="66"/>
      <c r="L20" s="66"/>
      <c r="M20" s="66"/>
      <c r="N20" s="66"/>
      <c r="O20" s="62" t="n">
        <v>2</v>
      </c>
      <c r="P20" s="64" t="n">
        <v>1</v>
      </c>
    </row>
    <row r="21" ht="32.1" customHeight="true">
      <c r="A21" s="50" t="s">
        <v>96</v>
      </c>
      <c r="B21" s="52" t="n">
        <v>1</v>
      </c>
      <c r="C21" s="56" t="s">
        <v>97</v>
      </c>
      <c r="D21" s="56"/>
      <c r="E21" s="50" t="s">
        <v>85</v>
      </c>
      <c r="F21" s="56" t="s">
        <v>98</v>
      </c>
      <c r="G21" s="56"/>
      <c r="H21" s="56"/>
      <c r="I21" s="62" t="s">
        <v>99</v>
      </c>
      <c r="J21" s="62"/>
      <c r="K21" s="62"/>
      <c r="L21" s="62"/>
      <c r="M21" s="62"/>
      <c r="N21" s="62"/>
      <c r="O21" s="63" t="n">
        <v>20</v>
      </c>
      <c r="P21" s="64" t="n">
        <v>1</v>
      </c>
    </row>
    <row r="22" ht="32.1" customHeight="true">
      <c r="A22" s="50"/>
      <c r="B22" s="50"/>
      <c r="C22" s="56"/>
      <c r="D22" s="56"/>
      <c r="E22" s="50"/>
      <c r="F22" s="56"/>
      <c r="G22" s="56"/>
      <c r="H22" s="56"/>
      <c r="I22" s="62"/>
      <c r="J22" s="62"/>
      <c r="K22" s="62"/>
      <c r="L22" s="62"/>
      <c r="M22" s="62"/>
      <c r="N22" s="62"/>
      <c r="O22" s="63"/>
      <c r="P22" s="64"/>
    </row>
    <row r="23" ht="15" customHeight="true">
      <c r="A23" s="50"/>
      <c r="B23" s="50"/>
      <c r="C23" s="56"/>
      <c r="D23" s="56"/>
      <c r="E23" s="50" t="s">
        <v>88</v>
      </c>
      <c r="F23" s="56" t="s">
        <v>100</v>
      </c>
      <c r="G23" s="56"/>
      <c r="H23" s="56"/>
      <c r="I23" s="58" t="s">
        <v>57</v>
      </c>
      <c r="J23" s="58"/>
      <c r="K23" s="58"/>
      <c r="L23" s="58"/>
      <c r="M23" s="58"/>
      <c r="N23" s="58"/>
      <c r="O23" s="58" t="s">
        <v>57</v>
      </c>
      <c r="P23" s="59" t="s">
        <v>57</v>
      </c>
    </row>
    <row r="24" ht="44.1" customHeight="true">
      <c r="A24" s="50"/>
      <c r="B24" s="52" t="n">
        <v>2</v>
      </c>
      <c r="C24" s="56" t="s">
        <v>101</v>
      </c>
      <c r="D24" s="56"/>
      <c r="E24" s="50" t="s">
        <v>85</v>
      </c>
      <c r="F24" s="56" t="s">
        <v>102</v>
      </c>
      <c r="G24" s="56"/>
      <c r="H24" s="56"/>
      <c r="I24" s="62" t="s">
        <v>103</v>
      </c>
      <c r="J24" s="62"/>
      <c r="K24" s="62"/>
      <c r="L24" s="62"/>
      <c r="M24" s="62"/>
      <c r="N24" s="62"/>
      <c r="O24" s="63" t="n">
        <v>26</v>
      </c>
      <c r="P24" s="64" t="n">
        <v>0.867</v>
      </c>
    </row>
    <row r="25" ht="44.1" customHeight="true">
      <c r="A25" s="50"/>
      <c r="B25" s="50"/>
      <c r="C25" s="56"/>
      <c r="D25" s="56"/>
      <c r="E25" s="50"/>
      <c r="F25" s="56"/>
      <c r="G25" s="56"/>
      <c r="H25" s="56"/>
      <c r="I25" s="62"/>
      <c r="J25" s="62"/>
      <c r="K25" s="62"/>
      <c r="L25" s="62"/>
      <c r="M25" s="62"/>
      <c r="N25" s="62"/>
      <c r="O25" s="63"/>
      <c r="P25" s="64"/>
    </row>
    <row r="26" ht="15" customHeight="true">
      <c r="A26" s="50"/>
      <c r="B26" s="50"/>
      <c r="C26" s="56"/>
      <c r="D26" s="56"/>
      <c r="E26" s="50" t="s">
        <v>88</v>
      </c>
      <c r="F26" s="56" t="s">
        <v>104</v>
      </c>
      <c r="G26" s="56"/>
      <c r="H26" s="56"/>
      <c r="I26" s="58" t="s">
        <v>57</v>
      </c>
      <c r="J26" s="58"/>
      <c r="K26" s="58"/>
      <c r="L26" s="58"/>
      <c r="M26" s="58"/>
      <c r="N26" s="58"/>
      <c r="O26" s="58" t="s">
        <v>57</v>
      </c>
      <c r="P26" s="59" t="s">
        <v>57</v>
      </c>
    </row>
    <row r="27" ht="15" customHeight="true">
      <c r="A27" s="50"/>
      <c r="B27" s="52" t="n">
        <v>3</v>
      </c>
      <c r="C27" s="56" t="s">
        <v>105</v>
      </c>
      <c r="D27" s="56"/>
      <c r="E27" s="50" t="s">
        <v>85</v>
      </c>
      <c r="F27" s="56" t="s">
        <v>106</v>
      </c>
      <c r="G27" s="56"/>
      <c r="H27" s="56"/>
      <c r="I27" s="62" t="s">
        <v>107</v>
      </c>
      <c r="J27" s="62"/>
      <c r="K27" s="62"/>
      <c r="L27" s="62"/>
      <c r="M27" s="62"/>
      <c r="N27" s="62"/>
      <c r="O27" s="63" t="n">
        <v>8</v>
      </c>
      <c r="P27" s="64" t="n">
        <v>0.8</v>
      </c>
    </row>
    <row r="28" ht="15" customHeight="true">
      <c r="A28" s="50"/>
      <c r="B28" s="50"/>
      <c r="C28" s="56"/>
      <c r="D28" s="56"/>
      <c r="E28" s="50"/>
      <c r="F28" s="56"/>
      <c r="G28" s="56"/>
      <c r="H28" s="56"/>
      <c r="I28" s="62"/>
      <c r="J28" s="62"/>
      <c r="K28" s="62"/>
      <c r="L28" s="62"/>
      <c r="M28" s="62"/>
      <c r="N28" s="62"/>
      <c r="O28" s="63"/>
      <c r="P28" s="64"/>
    </row>
    <row r="29" ht="15" customHeight="true">
      <c r="A29" s="50"/>
      <c r="B29" s="50"/>
      <c r="C29" s="56"/>
      <c r="D29" s="56"/>
      <c r="E29" s="50" t="s">
        <v>88</v>
      </c>
      <c r="F29" s="56" t="s">
        <v>108</v>
      </c>
      <c r="G29" s="56"/>
      <c r="H29" s="56"/>
      <c r="I29" s="58" t="s">
        <v>57</v>
      </c>
      <c r="J29" s="58"/>
      <c r="K29" s="58"/>
      <c r="L29" s="58"/>
      <c r="M29" s="58"/>
      <c r="N29" s="58"/>
      <c r="O29" s="58" t="s">
        <v>57</v>
      </c>
      <c r="P29" s="59" t="s">
        <v>57</v>
      </c>
    </row>
    <row r="30" ht="15" customHeight="true">
      <c r="A30" s="50"/>
      <c r="B30" s="50" t="n">
        <v>4</v>
      </c>
      <c r="C30" s="50" t="s">
        <v>109</v>
      </c>
      <c r="D30" s="50"/>
      <c r="E30" s="50"/>
      <c r="F30" s="68" t="s">
        <v>110</v>
      </c>
      <c r="G30" s="68"/>
      <c r="H30" s="68"/>
      <c r="I30" s="66" t="s">
        <v>111</v>
      </c>
      <c r="J30" s="66"/>
      <c r="K30" s="66"/>
      <c r="L30" s="66"/>
      <c r="M30" s="66"/>
      <c r="N30" s="66"/>
      <c r="O30" s="63" t="n">
        <v>8</v>
      </c>
      <c r="P30" s="64" t="n">
        <v>0.8</v>
      </c>
    </row>
    <row r="31" ht="141" customHeight="true">
      <c r="A31" s="50"/>
      <c r="B31" s="50"/>
      <c r="C31" s="50"/>
      <c r="D31" s="50"/>
      <c r="E31" s="50"/>
      <c r="F31" s="68"/>
      <c r="G31" s="68"/>
      <c r="H31" s="68"/>
      <c r="I31" s="66"/>
      <c r="J31" s="66"/>
      <c r="K31" s="66"/>
      <c r="L31" s="66"/>
      <c r="M31" s="66"/>
      <c r="N31" s="66"/>
      <c r="O31" s="63"/>
      <c r="P31" s="64"/>
    </row>
    <row r="32" ht="42.95" customHeight="true">
      <c r="A32" s="50"/>
      <c r="B32" s="50" t="n">
        <v>5</v>
      </c>
      <c r="C32" s="50" t="s">
        <v>112</v>
      </c>
      <c r="D32" s="50"/>
      <c r="E32" s="50"/>
      <c r="F32" s="69" t="s">
        <v>113</v>
      </c>
      <c r="G32" s="69"/>
      <c r="H32" s="69"/>
      <c r="I32" s="57" t="s">
        <v>114</v>
      </c>
      <c r="J32" s="57"/>
      <c r="K32" s="57"/>
      <c r="L32" s="57"/>
      <c r="M32" s="57"/>
      <c r="N32" s="57"/>
      <c r="O32" s="58" t="s">
        <v>57</v>
      </c>
      <c r="P32" s="64" t="n">
        <v>0.7</v>
      </c>
    </row>
    <row r="33" ht="42" customHeight="true">
      <c r="A33" s="50"/>
      <c r="B33" s="50" t="n">
        <v>6</v>
      </c>
      <c r="C33" s="50" t="s">
        <v>115</v>
      </c>
      <c r="D33" s="50"/>
      <c r="E33" s="50"/>
      <c r="F33" s="69" t="s">
        <v>116</v>
      </c>
      <c r="G33" s="69"/>
      <c r="H33" s="69"/>
      <c r="I33" s="57" t="s">
        <v>117</v>
      </c>
      <c r="J33" s="57"/>
      <c r="K33" s="57"/>
      <c r="L33" s="57"/>
      <c r="M33" s="57"/>
      <c r="N33" s="57"/>
      <c r="O33" s="58" t="s">
        <v>57</v>
      </c>
      <c r="P33" s="64" t="n">
        <v>0.7</v>
      </c>
    </row>
    <row r="34" ht="30" customHeight="true">
      <c r="A34" s="50" t="s">
        <v>118</v>
      </c>
      <c r="B34" s="50"/>
      <c r="C34" s="70" t="s">
        <v>119</v>
      </c>
      <c r="D34" s="70"/>
      <c r="E34" s="70"/>
      <c r="F34" s="70"/>
      <c r="G34" s="70"/>
      <c r="H34" s="70"/>
      <c r="I34" s="70"/>
      <c r="J34" s="70"/>
      <c r="K34" s="70"/>
      <c r="L34" s="70"/>
      <c r="M34" s="70"/>
      <c r="N34" s="70"/>
      <c r="O34" s="70"/>
      <c r="P34" s="70"/>
    </row>
    <row r="35" ht="3.75" customHeight="true">
      <c r="A35" s="50"/>
      <c r="B35" s="50"/>
      <c r="C35" s="71"/>
      <c r="D35" s="71"/>
      <c r="E35" s="71"/>
      <c r="F35" s="71"/>
      <c r="G35" s="71"/>
      <c r="H35" s="71"/>
      <c r="I35" s="71"/>
      <c r="J35" s="71"/>
      <c r="K35" s="71"/>
      <c r="L35" s="71"/>
      <c r="M35" s="71"/>
      <c r="N35" s="71"/>
      <c r="O35" s="71"/>
      <c r="P35" s="71"/>
    </row>
    <row r="36" ht="13.5" customHeight="true">
      <c r="A36" s="50"/>
      <c r="B36" s="50"/>
      <c r="C36" s="72" t="s">
        <v>120</v>
      </c>
      <c r="D36" s="72"/>
      <c r="E36" s="72"/>
      <c r="F36" s="73" t="s">
        <v>45</v>
      </c>
      <c r="G36" s="73"/>
      <c r="H36" s="73"/>
      <c r="I36" s="73"/>
      <c r="J36" s="73"/>
      <c r="K36" s="74"/>
      <c r="L36" s="74"/>
      <c r="M36" s="74"/>
      <c r="N36" s="74"/>
      <c r="O36" s="74"/>
      <c r="P36" s="75"/>
    </row>
    <row r="37" ht="9.75" customHeight="true">
      <c r="A37" s="50"/>
      <c r="B37" s="50"/>
      <c r="C37" s="76"/>
      <c r="D37" s="76"/>
      <c r="E37" s="76"/>
      <c r="F37" s="76"/>
      <c r="G37" s="76"/>
      <c r="H37" s="76"/>
      <c r="I37" s="76"/>
      <c r="J37" s="76"/>
      <c r="K37" s="76"/>
      <c r="L37" s="76"/>
      <c r="M37" s="76"/>
      <c r="N37" s="76"/>
      <c r="O37" s="76"/>
      <c r="P37" s="76"/>
    </row>
    <row r="38" ht="13.5" customHeight="true">
      <c r="A38" s="50"/>
      <c r="B38" s="50"/>
      <c r="C38" s="76" t="s">
        <v>121</v>
      </c>
      <c r="D38" s="76"/>
      <c r="E38" s="76"/>
      <c r="F38" s="76"/>
      <c r="G38" s="76"/>
      <c r="H38" s="76"/>
      <c r="I38" s="76"/>
      <c r="J38" s="76"/>
      <c r="K38" s="76"/>
      <c r="L38" s="76"/>
      <c r="M38" s="76"/>
      <c r="N38" s="76"/>
      <c r="O38" s="76"/>
      <c r="P38" s="76"/>
    </row>
    <row r="39" ht="16.5" customHeight="true">
      <c r="A39" s="50"/>
      <c r="B39" s="50"/>
      <c r="C39" s="77" t="s">
        <v>122</v>
      </c>
      <c r="D39" s="77"/>
      <c r="E39" s="77"/>
      <c r="F39" s="77"/>
      <c r="G39" s="77"/>
      <c r="H39" s="77"/>
      <c r="I39" s="77"/>
      <c r="J39" s="77"/>
      <c r="K39" s="77"/>
      <c r="L39" s="77"/>
      <c r="M39" s="77"/>
      <c r="N39" s="77"/>
      <c r="O39" s="77"/>
      <c r="P39" s="77"/>
    </row>
    <row r="40" ht="27.75" customHeight="true">
      <c r="A40" s="50" t="s">
        <v>123</v>
      </c>
      <c r="B40" s="50"/>
      <c r="C40" s="70" t="s">
        <v>124</v>
      </c>
      <c r="D40" s="70"/>
      <c r="E40" s="70"/>
      <c r="F40" s="70"/>
      <c r="G40" s="70"/>
      <c r="H40" s="70"/>
      <c r="I40" s="70"/>
      <c r="J40" s="70"/>
      <c r="K40" s="70"/>
      <c r="L40" s="70"/>
      <c r="M40" s="70"/>
      <c r="N40" s="70"/>
      <c r="O40" s="70"/>
      <c r="P40" s="70"/>
    </row>
    <row r="41" ht="4.5" customHeight="true">
      <c r="A41" s="50"/>
      <c r="B41" s="50"/>
      <c r="C41" s="71"/>
      <c r="D41" s="71"/>
      <c r="E41" s="71"/>
      <c r="F41" s="71"/>
      <c r="G41" s="71"/>
      <c r="H41" s="71"/>
      <c r="I41" s="71"/>
      <c r="J41" s="71"/>
      <c r="K41" s="71"/>
      <c r="L41" s="71"/>
      <c r="M41" s="71"/>
      <c r="N41" s="71"/>
      <c r="O41" s="71"/>
      <c r="P41" s="71"/>
    </row>
    <row r="42" ht="13.5" customHeight="true">
      <c r="A42" s="50"/>
      <c r="B42" s="50"/>
      <c r="C42" s="71" t="s">
        <v>120</v>
      </c>
      <c r="D42" s="71"/>
      <c r="E42" s="71"/>
      <c r="F42" s="71"/>
      <c r="G42" s="71"/>
      <c r="H42" s="71"/>
      <c r="I42" s="71"/>
      <c r="J42" s="71"/>
      <c r="K42" s="71"/>
      <c r="L42" s="71"/>
      <c r="M42" s="71"/>
      <c r="N42" s="71"/>
      <c r="O42" s="71"/>
      <c r="P42" s="71"/>
    </row>
    <row r="43" ht="3.75" customHeight="true">
      <c r="A43" s="50"/>
      <c r="B43" s="50"/>
      <c r="C43" s="71"/>
      <c r="D43" s="71"/>
      <c r="E43" s="71"/>
      <c r="F43" s="71"/>
      <c r="G43" s="71"/>
      <c r="H43" s="71"/>
      <c r="I43" s="71"/>
      <c r="J43" s="71"/>
      <c r="K43" s="71"/>
      <c r="L43" s="71"/>
      <c r="M43" s="71"/>
      <c r="N43" s="71"/>
      <c r="O43" s="71"/>
      <c r="P43" s="71"/>
    </row>
    <row r="44" ht="6.75" customHeight="true">
      <c r="A44" s="50"/>
      <c r="B44" s="50"/>
      <c r="C44" s="71"/>
      <c r="D44" s="71"/>
      <c r="E44" s="71"/>
      <c r="F44" s="71"/>
      <c r="G44" s="71"/>
      <c r="H44" s="71"/>
      <c r="I44" s="71"/>
      <c r="J44" s="71"/>
      <c r="K44" s="71"/>
      <c r="L44" s="71"/>
      <c r="M44" s="71"/>
      <c r="N44" s="71"/>
      <c r="O44" s="71"/>
      <c r="P44" s="71"/>
    </row>
    <row r="45" ht="21" customHeight="true">
      <c r="A45" s="50"/>
      <c r="B45" s="50"/>
      <c r="C45" s="76" t="s">
        <v>121</v>
      </c>
      <c r="D45" s="76"/>
      <c r="E45" s="76"/>
      <c r="F45" s="76"/>
      <c r="G45" s="76"/>
      <c r="H45" s="76"/>
      <c r="I45" s="76"/>
      <c r="J45" s="76"/>
      <c r="K45" s="76"/>
      <c r="L45" s="76"/>
      <c r="M45" s="76"/>
      <c r="N45" s="76"/>
      <c r="O45" s="76"/>
      <c r="P45" s="76"/>
    </row>
    <row r="46" ht="21" customHeight="true">
      <c r="A46" s="50"/>
      <c r="B46" s="50"/>
      <c r="C46" s="77" t="s">
        <v>122</v>
      </c>
      <c r="D46" s="77"/>
      <c r="E46" s="77"/>
      <c r="F46" s="77"/>
      <c r="G46" s="77"/>
      <c r="H46" s="77"/>
      <c r="I46" s="77"/>
      <c r="J46" s="77"/>
      <c r="K46" s="77"/>
      <c r="L46" s="77"/>
      <c r="M46" s="77"/>
      <c r="N46" s="77"/>
      <c r="O46" s="77"/>
      <c r="P46" s="77"/>
    </row>
  </sheetData>
  <mergeCells count="117">
    <mergeCell ref="A1:P1"/>
    <mergeCell ref="A2:P2"/>
    <mergeCell ref="A3:C3"/>
    <mergeCell ref="D3:G3"/>
    <mergeCell ref="H3:I3"/>
    <mergeCell ref="J3:P3"/>
    <mergeCell ref="Q3:Q4"/>
    <mergeCell ref="A4:C4"/>
    <mergeCell ref="D4:G4"/>
    <mergeCell ref="H4:I4"/>
    <mergeCell ref="J4:P4"/>
    <mergeCell ref="A5:C5"/>
    <mergeCell ref="D5:G5"/>
    <mergeCell ref="H5:I5"/>
    <mergeCell ref="J5:P5"/>
    <mergeCell ref="A6:B6"/>
    <mergeCell ref="C6:E6"/>
    <mergeCell ref="F6:H6"/>
    <mergeCell ref="I6:N6"/>
    <mergeCell ref="A7:A20"/>
    <mergeCell ref="C7:E7"/>
    <mergeCell ref="F7:H7"/>
    <mergeCell ref="I7:N7"/>
    <mergeCell ref="C8:E8"/>
    <mergeCell ref="F8:H8"/>
    <mergeCell ref="I8:N8"/>
    <mergeCell ref="B9:B14"/>
    <mergeCell ref="C9:D14"/>
    <mergeCell ref="E9:E10"/>
    <mergeCell ref="F9:H10"/>
    <mergeCell ref="I9:N10"/>
    <mergeCell ref="O9:O10"/>
    <mergeCell ref="P9:P10"/>
    <mergeCell ref="E11:E12"/>
    <mergeCell ref="F11:H12"/>
    <mergeCell ref="I11:N12"/>
    <mergeCell ref="O11:O12"/>
    <mergeCell ref="P11:P12"/>
    <mergeCell ref="E13:E14"/>
    <mergeCell ref="F13:H14"/>
    <mergeCell ref="I13:N14"/>
    <mergeCell ref="O13:O14"/>
    <mergeCell ref="P13:P14"/>
    <mergeCell ref="B15:B18"/>
    <mergeCell ref="C15:D18"/>
    <mergeCell ref="E15:E16"/>
    <mergeCell ref="F15:H16"/>
    <mergeCell ref="I15:N16"/>
    <mergeCell ref="O15:O16"/>
    <mergeCell ref="P15:P16"/>
    <mergeCell ref="E17:E18"/>
    <mergeCell ref="F17:H18"/>
    <mergeCell ref="I17:N18"/>
    <mergeCell ref="O17:O18"/>
    <mergeCell ref="P17:P18"/>
    <mergeCell ref="B19:B20"/>
    <mergeCell ref="C19:D20"/>
    <mergeCell ref="F19:H19"/>
    <mergeCell ref="I19:N19"/>
    <mergeCell ref="F20:H20"/>
    <mergeCell ref="I20:N20"/>
    <mergeCell ref="A21:A33"/>
    <mergeCell ref="B21:B23"/>
    <mergeCell ref="C21:D23"/>
    <mergeCell ref="E21:E22"/>
    <mergeCell ref="F21:H22"/>
    <mergeCell ref="I21:N22"/>
    <mergeCell ref="O21:O22"/>
    <mergeCell ref="P21:P22"/>
    <mergeCell ref="F23:H23"/>
    <mergeCell ref="I23:N23"/>
    <mergeCell ref="B24:B26"/>
    <mergeCell ref="C24:D26"/>
    <mergeCell ref="E24:E25"/>
    <mergeCell ref="F24:H25"/>
    <mergeCell ref="I24:N25"/>
    <mergeCell ref="O24:O25"/>
    <mergeCell ref="P24:P25"/>
    <mergeCell ref="F26:H26"/>
    <mergeCell ref="I26:N26"/>
    <mergeCell ref="B27:B29"/>
    <mergeCell ref="C27:D29"/>
    <mergeCell ref="E27:E28"/>
    <mergeCell ref="F27:H28"/>
    <mergeCell ref="I27:N28"/>
    <mergeCell ref="O27:O28"/>
    <mergeCell ref="P27:P28"/>
    <mergeCell ref="F29:H29"/>
    <mergeCell ref="I29:N29"/>
    <mergeCell ref="B30:B31"/>
    <mergeCell ref="C30:E31"/>
    <mergeCell ref="F30:H31"/>
    <mergeCell ref="I30:N31"/>
    <mergeCell ref="O30:O31"/>
    <mergeCell ref="P30:P31"/>
    <mergeCell ref="C32:E32"/>
    <mergeCell ref="F32:H32"/>
    <mergeCell ref="I32:N32"/>
    <mergeCell ref="C33:E33"/>
    <mergeCell ref="F33:H33"/>
    <mergeCell ref="I33:N33"/>
    <mergeCell ref="A34:B39"/>
    <mergeCell ref="C34:P34"/>
    <mergeCell ref="C35:P35"/>
    <mergeCell ref="C36:E36"/>
    <mergeCell ref="F36:J36"/>
    <mergeCell ref="C37:P37"/>
    <mergeCell ref="C38:P38"/>
    <mergeCell ref="C39:P39"/>
    <mergeCell ref="A40:B46"/>
    <mergeCell ref="C40:P40"/>
    <mergeCell ref="C41:P41"/>
    <mergeCell ref="C42:P42"/>
    <mergeCell ref="C43:P43"/>
    <mergeCell ref="C44:P44"/>
    <mergeCell ref="C45:P45"/>
    <mergeCell ref="C46:P46"/>
  </mergeCells>
  <printOptions gridLinesSet="true"/>
  <pageMargins left="0.75" right="0.75" top="1" bottom="1" header="0.511805555555555" footer="0.511805555555555"/>
  <pageSetup cellComments="none" copies="1" firstPageNumber="0" fitToHeight="0" fitToWidth="1" horizontalDpi="300" orientation="portrait" pageOrder="downThenOver" paperSize="9" scale="100" verticalDpi="300"/>
  <headerFooter/>
</worksheet>
</file>

<file path=xl/worksheets/sheet3.xml><?xml version="1.0" encoding="utf-8"?>
<worksheet xmlns="http://schemas.openxmlformats.org/spreadsheetml/2006/main" xmlns:r="http://schemas.openxmlformats.org/officeDocument/2006/relationships">
  <sheetPr>
    <pageSetUpPr fitToPage="true"/>
  </sheetPr>
  <dimension ref="A1:P28"/>
  <sheetViews>
    <sheetView showGridLines="true" showRowColHeaders="true" showZeros="true" showOutlineSymbols="true" defaultGridColor="true" view="pageBreakPreview" topLeftCell="A8" colorId="64" zoomScale="100" zoomScaleNormal="100" zoomScalePageLayoutView="100" workbookViewId="0">
      <selection activeCell="Y12" activeCellId="0" pane="topLeft" sqref="Y12"/>
    </sheetView>
  </sheetViews>
  <sheetFormatPr defaultRowHeight="12"/>
  <cols>
    <col customWidth="true" max="12" min="1" width="10.45"/>
    <col customWidth="true" max="13" min="13" width="0.33"/>
    <col customWidth="true" max="14" min="14" width="8"/>
    <col customWidth="true" max="15" min="15" width="6.69"/>
    <col customWidth="true" max="1025" min="16" width="10.45"/>
  </cols>
  <sheetData>
    <row r="1" ht="42" customHeight="true">
      <c r="A1" s="48" t="s">
        <v>53</v>
      </c>
      <c r="B1" s="48"/>
      <c r="C1" s="48"/>
      <c r="D1" s="48"/>
      <c r="E1" s="48"/>
      <c r="F1" s="48"/>
      <c r="G1" s="48"/>
      <c r="H1" s="48"/>
      <c r="I1" s="48"/>
      <c r="J1" s="48"/>
      <c r="K1" s="48"/>
      <c r="L1" s="48"/>
      <c r="M1" s="48"/>
      <c r="N1" s="48"/>
      <c r="O1" s="48"/>
      <c r="P1" s="78"/>
    </row>
    <row r="2" ht="42" customHeight="true">
      <c r="A2" s="79" t="s">
        <v>125</v>
      </c>
      <c r="B2" s="79"/>
      <c r="C2" s="79"/>
      <c r="D2" s="79"/>
      <c r="E2" s="79"/>
      <c r="F2" s="79"/>
      <c r="G2" s="79"/>
      <c r="H2" s="79"/>
      <c r="I2" s="79"/>
      <c r="J2" s="79"/>
      <c r="K2" s="79"/>
      <c r="L2" s="79"/>
      <c r="M2" s="79"/>
      <c r="N2" s="79"/>
      <c r="O2" s="79"/>
      <c r="P2" s="78"/>
    </row>
    <row r="3" ht="45" customHeight="true">
      <c r="A3" s="50" t="s">
        <v>55</v>
      </c>
      <c r="B3" s="50"/>
      <c r="C3" s="50"/>
      <c r="D3" s="80" t="s">
        <v>126</v>
      </c>
      <c r="E3" s="80"/>
      <c r="F3" s="80"/>
      <c r="G3" s="50" t="s">
        <v>56</v>
      </c>
      <c r="H3" s="50"/>
      <c r="I3" s="81" t="s">
        <v>57</v>
      </c>
      <c r="J3" s="81"/>
      <c r="K3" s="81"/>
      <c r="L3" s="81"/>
      <c r="M3" s="81"/>
      <c r="N3" s="81"/>
      <c r="O3" s="81"/>
      <c r="P3" s="78"/>
    </row>
    <row r="4" ht="38.1" customHeight="true">
      <c r="A4" s="50" t="s">
        <v>58</v>
      </c>
      <c r="B4" s="50"/>
      <c r="C4" s="50"/>
      <c r="D4" s="80" t="s">
        <v>127</v>
      </c>
      <c r="E4" s="80"/>
      <c r="F4" s="80"/>
      <c r="G4" s="50" t="s">
        <v>59</v>
      </c>
      <c r="H4" s="50"/>
      <c r="I4" s="81"/>
      <c r="J4" s="81"/>
      <c r="K4" s="81"/>
      <c r="L4" s="81"/>
      <c r="M4" s="81"/>
      <c r="N4" s="81"/>
      <c r="O4" s="81"/>
      <c r="P4" s="78"/>
    </row>
    <row r="5" ht="51.95" customHeight="true">
      <c r="A5" s="50" t="s">
        <v>61</v>
      </c>
      <c r="B5" s="50"/>
      <c r="C5" s="50"/>
      <c r="D5" s="80" t="s">
        <v>128</v>
      </c>
      <c r="E5" s="80"/>
      <c r="F5" s="80"/>
      <c r="G5" s="50" t="s">
        <v>62</v>
      </c>
      <c r="H5" s="50"/>
      <c r="I5" s="50" t="s">
        <v>129</v>
      </c>
      <c r="J5" s="50"/>
      <c r="K5" s="50"/>
      <c r="L5" s="50"/>
      <c r="M5" s="50"/>
      <c r="N5" s="50"/>
      <c r="O5" s="50"/>
      <c r="P5" s="78"/>
    </row>
    <row r="6" ht="24" customHeight="true">
      <c r="A6" s="50" t="s">
        <v>12</v>
      </c>
      <c r="B6" s="50"/>
      <c r="C6" s="50" t="s">
        <v>64</v>
      </c>
      <c r="D6" s="50"/>
      <c r="E6" s="50" t="s">
        <v>65</v>
      </c>
      <c r="F6" s="50"/>
      <c r="G6" s="50"/>
      <c r="H6" s="50" t="s">
        <v>66</v>
      </c>
      <c r="I6" s="50"/>
      <c r="J6" s="50"/>
      <c r="K6" s="50"/>
      <c r="L6" s="50"/>
      <c r="M6" s="50"/>
      <c r="N6" s="50" t="s">
        <v>67</v>
      </c>
      <c r="O6" s="50" t="s">
        <v>68</v>
      </c>
      <c r="P6" s="78"/>
    </row>
    <row r="7" ht="90.95" customHeight="true">
      <c r="A7" s="50" t="s">
        <v>69</v>
      </c>
      <c r="B7" s="50" t="n">
        <v>1</v>
      </c>
      <c r="C7" s="56" t="s">
        <v>130</v>
      </c>
      <c r="D7" s="56"/>
      <c r="E7" s="50" t="s">
        <v>131</v>
      </c>
      <c r="F7" s="50"/>
      <c r="G7" s="50"/>
      <c r="H7" s="50" t="s">
        <v>132</v>
      </c>
      <c r="I7" s="50"/>
      <c r="J7" s="50"/>
      <c r="K7" s="50"/>
      <c r="L7" s="50"/>
      <c r="M7" s="50"/>
      <c r="N7" s="81" t="s">
        <v>57</v>
      </c>
      <c r="O7" s="82" t="n">
        <v>1</v>
      </c>
      <c r="P7" s="78"/>
    </row>
    <row r="8" ht="57" customHeight="true">
      <c r="A8" s="50"/>
      <c r="B8" s="50" t="n">
        <v>2</v>
      </c>
      <c r="C8" s="56" t="s">
        <v>133</v>
      </c>
      <c r="D8" s="56"/>
      <c r="E8" s="50" t="s">
        <v>134</v>
      </c>
      <c r="F8" s="50"/>
      <c r="G8" s="50"/>
      <c r="H8" s="50" t="s">
        <v>135</v>
      </c>
      <c r="I8" s="50"/>
      <c r="J8" s="50"/>
      <c r="K8" s="50"/>
      <c r="L8" s="50"/>
      <c r="M8" s="50"/>
      <c r="N8" s="81" t="s">
        <v>57</v>
      </c>
      <c r="O8" s="82" t="n">
        <v>1</v>
      </c>
      <c r="P8" s="78"/>
    </row>
    <row r="9" ht="53.1" customHeight="true">
      <c r="A9" s="50"/>
      <c r="B9" s="50" t="n">
        <v>3</v>
      </c>
      <c r="C9" s="56" t="s">
        <v>136</v>
      </c>
      <c r="D9" s="56"/>
      <c r="E9" s="50" t="s">
        <v>137</v>
      </c>
      <c r="F9" s="50"/>
      <c r="G9" s="50"/>
      <c r="H9" s="83" t="s">
        <v>138</v>
      </c>
      <c r="I9" s="83"/>
      <c r="J9" s="83"/>
      <c r="K9" s="83"/>
      <c r="L9" s="83"/>
      <c r="M9" s="83"/>
      <c r="N9" s="81" t="s">
        <v>57</v>
      </c>
      <c r="O9" s="82" t="n">
        <v>1</v>
      </c>
      <c r="P9" s="78"/>
    </row>
    <row r="10" ht="56.1" customHeight="true">
      <c r="A10" s="50" t="s">
        <v>96</v>
      </c>
      <c r="B10" s="50" t="n">
        <v>1</v>
      </c>
      <c r="C10" s="56" t="s">
        <v>139</v>
      </c>
      <c r="D10" s="56"/>
      <c r="E10" s="50" t="s">
        <v>140</v>
      </c>
      <c r="F10" s="50" t="s">
        <v>141</v>
      </c>
      <c r="G10" s="50"/>
      <c r="H10" s="81" t="s">
        <v>57</v>
      </c>
      <c r="I10" s="81"/>
      <c r="J10" s="81"/>
      <c r="K10" s="81"/>
      <c r="L10" s="81"/>
      <c r="M10" s="81"/>
      <c r="N10" s="81" t="s">
        <v>57</v>
      </c>
      <c r="O10" s="81" t="s">
        <v>57</v>
      </c>
      <c r="P10" s="78"/>
    </row>
    <row r="11" ht="89.1" customHeight="true">
      <c r="A11" s="50"/>
      <c r="B11" s="50"/>
      <c r="C11" s="56"/>
      <c r="D11" s="56"/>
      <c r="E11" s="50" t="s">
        <v>142</v>
      </c>
      <c r="F11" s="50" t="s">
        <v>143</v>
      </c>
      <c r="G11" s="50"/>
      <c r="H11" s="80" t="s">
        <v>160</v>
      </c>
      <c r="I11" s="80"/>
      <c r="J11" s="80"/>
      <c r="K11" s="80"/>
      <c r="L11" s="80"/>
      <c r="M11" s="80"/>
      <c r="N11" s="84" t="n">
        <v>20</v>
      </c>
      <c r="O11" s="85" t="n">
        <v>1</v>
      </c>
      <c r="P11" s="78"/>
    </row>
    <row r="12" ht="33.95" customHeight="true">
      <c r="A12" s="50"/>
      <c r="B12" s="50" t="n">
        <v>2</v>
      </c>
      <c r="C12" s="56" t="s">
        <v>145</v>
      </c>
      <c r="D12" s="56"/>
      <c r="E12" s="50" t="s">
        <v>146</v>
      </c>
      <c r="F12" s="50"/>
      <c r="G12" s="50"/>
      <c r="H12" s="86" t="s">
        <v>161</v>
      </c>
      <c r="I12" s="86"/>
      <c r="J12" s="86"/>
      <c r="K12" s="86"/>
      <c r="L12" s="86"/>
      <c r="M12" s="86"/>
      <c r="N12" s="87" t="n">
        <v>5</v>
      </c>
      <c r="O12" s="85" t="n">
        <v>0.833</v>
      </c>
      <c r="P12" s="78"/>
    </row>
    <row r="13" ht="13.5">
      <c r="A13" s="50"/>
      <c r="B13" s="50"/>
      <c r="C13" s="56"/>
      <c r="D13" s="56"/>
      <c r="E13" s="50"/>
      <c r="F13" s="50"/>
      <c r="G13" s="50"/>
      <c r="H13" s="86"/>
      <c r="I13" s="86"/>
      <c r="J13" s="86"/>
      <c r="K13" s="86"/>
      <c r="L13" s="86"/>
      <c r="M13" s="86"/>
      <c r="N13" s="87"/>
      <c r="O13" s="85"/>
      <c r="P13" s="78"/>
    </row>
    <row r="14" ht="26.1" customHeight="true">
      <c r="A14" s="50" t="s">
        <v>148</v>
      </c>
      <c r="B14" s="50"/>
      <c r="C14" s="88" t="s">
        <v>149</v>
      </c>
      <c r="D14" s="88"/>
      <c r="E14" s="88"/>
      <c r="F14" s="88"/>
      <c r="G14" s="88"/>
      <c r="H14" s="88"/>
      <c r="I14" s="88"/>
      <c r="J14" s="88"/>
      <c r="K14" s="88"/>
      <c r="L14" s="88"/>
      <c r="M14" s="88"/>
      <c r="N14" s="88"/>
      <c r="O14" s="88"/>
      <c r="P14" s="74"/>
    </row>
    <row r="15" ht="18" customHeight="true">
      <c r="A15" s="50"/>
      <c r="B15" s="50"/>
      <c r="C15" s="89" t="s">
        <v>150</v>
      </c>
      <c r="D15" s="89"/>
      <c r="E15" s="89"/>
      <c r="F15" s="89"/>
      <c r="G15" s="89"/>
      <c r="H15" s="89"/>
      <c r="I15" s="89"/>
      <c r="J15" s="89"/>
      <c r="K15" s="89"/>
      <c r="L15" s="89"/>
      <c r="M15" s="89"/>
      <c r="N15" s="89"/>
      <c r="O15" s="89"/>
      <c r="P15" s="90"/>
    </row>
    <row r="16" ht="18" customHeight="true">
      <c r="A16" s="50"/>
      <c r="B16" s="50"/>
      <c r="C16" s="89" t="s">
        <v>151</v>
      </c>
      <c r="D16" s="89"/>
      <c r="E16" s="89"/>
      <c r="F16" s="89"/>
      <c r="G16" s="89"/>
      <c r="H16" s="89"/>
      <c r="I16" s="89"/>
      <c r="J16" s="89"/>
      <c r="K16" s="89"/>
      <c r="L16" s="89"/>
      <c r="M16" s="89"/>
      <c r="N16" s="89"/>
      <c r="O16" s="89"/>
      <c r="P16" s="90"/>
    </row>
    <row r="17" ht="18" customHeight="true">
      <c r="A17" s="50"/>
      <c r="B17" s="50"/>
      <c r="C17" s="71"/>
      <c r="D17" s="71"/>
      <c r="E17" s="71"/>
      <c r="F17" s="71"/>
      <c r="G17" s="71"/>
      <c r="H17" s="71"/>
      <c r="I17" s="71"/>
      <c r="J17" s="71"/>
      <c r="K17" s="71"/>
      <c r="L17" s="71"/>
      <c r="M17" s="71"/>
      <c r="N17" s="71"/>
      <c r="O17" s="71"/>
      <c r="P17" s="78"/>
    </row>
    <row r="18" ht="18" customHeight="true">
      <c r="A18" s="50"/>
      <c r="B18" s="50"/>
      <c r="C18" s="71"/>
      <c r="D18" s="71"/>
      <c r="E18" s="71"/>
      <c r="F18" s="71"/>
      <c r="G18" s="71"/>
      <c r="H18" s="71"/>
      <c r="I18" s="71"/>
      <c r="J18" s="71"/>
      <c r="K18" s="71"/>
      <c r="L18" s="71"/>
      <c r="M18" s="71"/>
      <c r="N18" s="71"/>
      <c r="O18" s="71"/>
      <c r="P18" s="78"/>
    </row>
    <row r="19" ht="18" customHeight="true">
      <c r="A19" s="50"/>
      <c r="B19" s="50"/>
      <c r="C19" s="71"/>
      <c r="D19" s="71"/>
      <c r="E19" s="71"/>
      <c r="F19" s="71"/>
      <c r="G19" s="71"/>
      <c r="H19" s="71"/>
      <c r="I19" s="71"/>
      <c r="J19" s="71"/>
      <c r="K19" s="71"/>
      <c r="L19" s="71"/>
      <c r="M19" s="71"/>
      <c r="N19" s="71"/>
      <c r="O19" s="71"/>
      <c r="P19" s="78"/>
    </row>
    <row r="20" ht="18" customHeight="true">
      <c r="A20" s="50"/>
      <c r="B20" s="50"/>
      <c r="C20" s="76"/>
      <c r="D20" s="76"/>
      <c r="E20" s="76"/>
      <c r="F20" s="76"/>
      <c r="G20" s="76"/>
      <c r="H20" s="76"/>
      <c r="I20" s="76"/>
      <c r="J20" s="76"/>
      <c r="K20" s="76"/>
      <c r="L20" s="76"/>
      <c r="M20" s="76"/>
      <c r="N20" s="76"/>
      <c r="O20" s="76"/>
      <c r="P20" s="78"/>
    </row>
    <row r="21" ht="18" customHeight="true">
      <c r="A21" s="50"/>
      <c r="B21" s="50"/>
      <c r="C21" s="91" t="s">
        <v>152</v>
      </c>
      <c r="D21" s="91"/>
      <c r="E21" s="91"/>
      <c r="F21" s="91"/>
      <c r="G21" s="91"/>
      <c r="H21" s="91"/>
      <c r="I21" s="91"/>
      <c r="J21" s="91"/>
      <c r="K21" s="91"/>
      <c r="L21" s="91"/>
      <c r="M21" s="91"/>
      <c r="N21" s="91"/>
      <c r="O21" s="91"/>
      <c r="P21" s="78"/>
    </row>
    <row r="22" ht="18" customHeight="true">
      <c r="A22" s="50" t="s">
        <v>153</v>
      </c>
      <c r="B22" s="50"/>
      <c r="C22" s="70" t="s">
        <v>154</v>
      </c>
      <c r="D22" s="70"/>
      <c r="E22" s="70"/>
      <c r="F22" s="70"/>
      <c r="G22" s="70"/>
      <c r="H22" s="70"/>
      <c r="I22" s="70"/>
      <c r="J22" s="70"/>
      <c r="K22" s="70"/>
      <c r="L22" s="70"/>
      <c r="M22" s="70"/>
      <c r="N22" s="70"/>
      <c r="O22" s="70"/>
      <c r="P22" s="78"/>
    </row>
    <row r="23" ht="18" customHeight="true">
      <c r="A23" s="50"/>
      <c r="B23" s="50"/>
      <c r="C23" s="71" t="s">
        <v>155</v>
      </c>
      <c r="D23" s="71"/>
      <c r="E23" s="71"/>
      <c r="F23" s="71"/>
      <c r="G23" s="71"/>
      <c r="H23" s="71"/>
      <c r="I23" s="71"/>
      <c r="J23" s="71"/>
      <c r="K23" s="71"/>
      <c r="L23" s="71"/>
      <c r="M23" s="71"/>
      <c r="N23" s="71"/>
      <c r="O23" s="71"/>
      <c r="P23" s="78"/>
    </row>
    <row r="24" ht="18" customHeight="true">
      <c r="A24" s="50"/>
      <c r="B24" s="50"/>
      <c r="C24" s="71" t="s">
        <v>156</v>
      </c>
      <c r="D24" s="71"/>
      <c r="E24" s="71"/>
      <c r="F24" s="71"/>
      <c r="G24" s="71"/>
      <c r="H24" s="71"/>
      <c r="I24" s="71"/>
      <c r="J24" s="71"/>
      <c r="K24" s="71"/>
      <c r="L24" s="71"/>
      <c r="M24" s="71"/>
      <c r="N24" s="71"/>
      <c r="O24" s="71"/>
      <c r="P24" s="78"/>
    </row>
    <row r="25" ht="18" customHeight="true">
      <c r="A25" s="50"/>
      <c r="B25" s="50"/>
      <c r="C25" s="71"/>
      <c r="D25" s="71"/>
      <c r="E25" s="71"/>
      <c r="F25" s="71"/>
      <c r="G25" s="71"/>
      <c r="H25" s="71"/>
      <c r="I25" s="71"/>
      <c r="J25" s="71"/>
      <c r="K25" s="71"/>
      <c r="L25" s="71"/>
      <c r="M25" s="71"/>
      <c r="N25" s="71"/>
      <c r="O25" s="71"/>
      <c r="P25" s="78"/>
    </row>
    <row r="26" ht="18" customHeight="true">
      <c r="A26" s="50"/>
      <c r="B26" s="50"/>
      <c r="C26" s="71"/>
      <c r="D26" s="71"/>
      <c r="E26" s="71"/>
      <c r="F26" s="71"/>
      <c r="G26" s="71"/>
      <c r="H26" s="71"/>
      <c r="I26" s="71"/>
      <c r="J26" s="71"/>
      <c r="K26" s="71"/>
      <c r="L26" s="71"/>
      <c r="M26" s="71"/>
      <c r="N26" s="71"/>
      <c r="O26" s="71"/>
      <c r="P26" s="78"/>
    </row>
    <row r="27" ht="18" customHeight="true">
      <c r="A27" s="50"/>
      <c r="B27" s="50"/>
      <c r="C27" s="76"/>
      <c r="D27" s="76"/>
      <c r="E27" s="76"/>
      <c r="F27" s="76"/>
      <c r="G27" s="76"/>
      <c r="H27" s="76"/>
      <c r="I27" s="76"/>
      <c r="J27" s="76"/>
      <c r="K27" s="76"/>
      <c r="L27" s="76"/>
      <c r="M27" s="76"/>
      <c r="N27" s="76"/>
      <c r="O27" s="76"/>
      <c r="P27" s="78"/>
    </row>
    <row r="28" ht="18" customHeight="true">
      <c r="A28" s="50"/>
      <c r="B28" s="50"/>
      <c r="C28" s="91" t="s">
        <v>152</v>
      </c>
      <c r="D28" s="91"/>
      <c r="E28" s="91"/>
      <c r="F28" s="91"/>
      <c r="G28" s="91"/>
      <c r="H28" s="91"/>
      <c r="I28" s="91"/>
      <c r="J28" s="91"/>
      <c r="K28" s="91"/>
      <c r="L28" s="91"/>
      <c r="M28" s="91"/>
      <c r="N28" s="91"/>
      <c r="O28" s="91"/>
      <c r="P28" s="78"/>
    </row>
  </sheetData>
  <mergeCells count="58">
    <mergeCell ref="A1:O1"/>
    <mergeCell ref="A2:O2"/>
    <mergeCell ref="A3:C3"/>
    <mergeCell ref="D3:F3"/>
    <mergeCell ref="G3:H3"/>
    <mergeCell ref="I3:O3"/>
    <mergeCell ref="A4:C4"/>
    <mergeCell ref="D4:F4"/>
    <mergeCell ref="G4:H4"/>
    <mergeCell ref="I4:O4"/>
    <mergeCell ref="A5:C5"/>
    <mergeCell ref="D5:F5"/>
    <mergeCell ref="G5:H5"/>
    <mergeCell ref="I5:O5"/>
    <mergeCell ref="A6:B6"/>
    <mergeCell ref="C6:D6"/>
    <mergeCell ref="E6:G6"/>
    <mergeCell ref="H6:M6"/>
    <mergeCell ref="A7:A9"/>
    <mergeCell ref="C7:D7"/>
    <mergeCell ref="E7:G7"/>
    <mergeCell ref="H7:M7"/>
    <mergeCell ref="C8:D8"/>
    <mergeCell ref="E8:G8"/>
    <mergeCell ref="H8:M8"/>
    <mergeCell ref="C9:D9"/>
    <mergeCell ref="E9:G9"/>
    <mergeCell ref="H9:M9"/>
    <mergeCell ref="A10:A13"/>
    <mergeCell ref="B10:B11"/>
    <mergeCell ref="C10:D11"/>
    <mergeCell ref="F10:G10"/>
    <mergeCell ref="H10:M10"/>
    <mergeCell ref="F11:G11"/>
    <mergeCell ref="H11:M11"/>
    <mergeCell ref="B12:B13"/>
    <mergeCell ref="C12:D13"/>
    <mergeCell ref="E12:G13"/>
    <mergeCell ref="H12:M13"/>
    <mergeCell ref="N12:N13"/>
    <mergeCell ref="O12:O13"/>
    <mergeCell ref="A14:B21"/>
    <mergeCell ref="C14:O14"/>
    <mergeCell ref="C15:O15"/>
    <mergeCell ref="C16:O16"/>
    <mergeCell ref="C17:O17"/>
    <mergeCell ref="C18:O18"/>
    <mergeCell ref="C19:O19"/>
    <mergeCell ref="C20:O20"/>
    <mergeCell ref="C21:O21"/>
    <mergeCell ref="A22:B28"/>
    <mergeCell ref="C22:O22"/>
    <mergeCell ref="C23:O23"/>
    <mergeCell ref="C24:O24"/>
    <mergeCell ref="C25:O25"/>
    <mergeCell ref="C26:O26"/>
    <mergeCell ref="C27:O27"/>
    <mergeCell ref="C28:O28"/>
  </mergeCells>
  <printOptions gridLinesSet="true"/>
  <pageMargins left="0.75" right="0.75" top="1" bottom="1" header="0.511805555555555" footer="0.511805555555555"/>
  <pageSetup cellComments="none" copies="1" firstPageNumber="0"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2024-12-02T01:12:00Z</dcterms:created>
  <dc:creator>iPad</dc:creator>
  <dc:description/>
  <dc:language>zh-CN</dc:language>
  <cp:lastModifiedBy/>
  <dcterms:modified xsi:type="dcterms:W3CDTF">2025-03-20T15:43:44Z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ICV">
    <vt:lpwstr>3A4F9EACFD2F4404BA7F0852F547C40D_13</vt:lpwstr>
  </property>
  <property fmtid="{D5CDD505-2E9C-101B-9397-08002B2CF9AE}" pid="6" name="KSOProductBuildVer">
    <vt:lpwstr>2052-12.1.0.20305</vt:lpwstr>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