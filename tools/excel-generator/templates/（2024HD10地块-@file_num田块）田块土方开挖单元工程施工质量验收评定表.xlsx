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05" firstSheet="18" activeTab="24"/>
  </bookViews>
  <sheets>
    <sheet name="表土剥离和回覆质量报验表" sheetId="9" r:id="rId1"/>
    <sheet name="表土玻璃和回覆质量评定表" sheetId="7" r:id="rId2"/>
    <sheet name="土方开挖报验表" sheetId="2" r:id="rId3"/>
    <sheet name="土方开挖评定表" sheetId="1" r:id="rId4"/>
    <sheet name="表土及土质岸坡清理工序" sheetId="13" r:id="rId5"/>
    <sheet name="软基或土质岸坡开挖工序" sheetId="14" r:id="rId6"/>
    <sheet name="土料填筑质量报验单" sheetId="6" r:id="rId7"/>
    <sheet name="土料填筑评定表" sheetId="3" r:id="rId8"/>
    <sheet name="土料填筑结合面处理工序" sheetId="16" r:id="rId9"/>
    <sheet name="土料填筑卸料及铺填工序" sheetId="17" r:id="rId10"/>
    <sheet name="土料填筑土料压实工序" sheetId="18" r:id="rId11"/>
    <sheet name="土料填筑接缝处理工序" sheetId="15" r:id="rId12"/>
    <sheet name="田埂修筑报验表" sheetId="12" r:id="rId13"/>
    <sheet name="田埂修筑质量评定表" sheetId="10" r:id="rId14"/>
    <sheet name="田块平整报验表" sheetId="11" r:id="rId15"/>
    <sheet name="田块平整质量评定表" sheetId="8" r:id="rId16"/>
    <sheet name="混凝土预制构件安装单元" sheetId="19" r:id="rId17"/>
    <sheet name="混凝土构件外观质量检查工序" sheetId="20" r:id="rId18"/>
    <sheet name="预制件吊装工序" sheetId="21" r:id="rId19"/>
    <sheet name="预制件接缝及接头处理工序" sheetId="22" r:id="rId20"/>
    <sheet name="普通混凝土单元" sheetId="23" r:id="rId21"/>
    <sheet name="基础面处理工序" sheetId="24" r:id="rId22"/>
    <sheet name="施工缝处理工序" sheetId="25" r:id="rId23"/>
    <sheet name="模板制作及安装工序" sheetId="26" r:id="rId24"/>
    <sheet name="钢筋制作及安装工序" sheetId="27" r:id="rId25"/>
    <sheet name="预埋件制作及安装工序" sheetId="28" r:id="rId26"/>
    <sheet name="混凝土浇筑工序" sheetId="29" r:id="rId27"/>
    <sheet name="混凝土外观质量检查工序" sheetId="30" r:id="rId28"/>
  </sheets>
  <externalReferences>
    <externalReference r:id="rId29"/>
  </externalReferences>
  <definedNames>
    <definedName name="_xlnm.Print_Area" localSheetId="0">表土剥离和回覆质量报验表!$A$1:$AL$30</definedName>
    <definedName name="_xlnm.Print_Area" localSheetId="25">预埋件制作及安装工序!$A$1:$P$57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<sst xmlns="http://schemas.openxmlformats.org/spreadsheetml/2006/main" count="2045" uniqueCount="775">
  <si>
    <t>表土剥离与回覆</t>
  </si>
  <si>
    <t>工序/</t>
  </si>
  <si>
    <t>单元工程施工质量报验单</t>
  </si>
  <si>
    <t>(</t>
  </si>
  <si>
    <t>承包</t>
  </si>
  <si>
    <t>[</t>
  </si>
  <si>
    <t>] 质报</t>
  </si>
  <si>
    <t>号)</t>
  </si>
  <si>
    <t>合同名称：</t>
  </si>
  <si>
    <t>布拖县2024年高标准农田建设项目（增发国债）</t>
  </si>
  <si>
    <t>合同编号：</t>
  </si>
  <si>
    <t>致（监理机构）：</t>
  </si>
  <si>
    <t>中浩宇项目管理有限公司</t>
  </si>
  <si>
    <t xml:space="preserve">□ </t>
  </si>
  <si>
    <t xml:space="preserve"> </t>
  </si>
  <si>
    <t>单元工程已按合同要求完成施工，经自检合格，报请贵</t>
  </si>
  <si>
    <t>方复核。</t>
  </si>
  <si>
    <t>附：</t>
  </si>
  <si>
    <t xml:space="preserve">  □ </t>
  </si>
  <si>
    <t>工序施工质量评定表</t>
  </si>
  <si>
    <t>工序施工质量检查、检测记录</t>
  </si>
  <si>
    <t>单元工程施工质量评定表</t>
  </si>
  <si>
    <t>单元工程施工质量检查、检测记录</t>
  </si>
  <si>
    <t>承包人：（现场机构名称及盖章）</t>
  </si>
  <si>
    <t>质检负责人：（签名）</t>
  </si>
  <si>
    <t>日    期：</t>
  </si>
  <si>
    <t>年  月  日</t>
  </si>
  <si>
    <t>监理机构
意   见</t>
  </si>
  <si>
    <t>复核结果：</t>
  </si>
  <si>
    <t>同意进入下一工序</t>
  </si>
  <si>
    <t>不同意进入下一工序</t>
  </si>
  <si>
    <t>同意进入下一单元工程</t>
  </si>
  <si>
    <t>不同意进入下一单元工程</t>
  </si>
  <si>
    <t>附件：监理复核支持材料。</t>
  </si>
  <si>
    <t>监理机构：（名称及盖章）</t>
  </si>
  <si>
    <t>监理工程师：（签名）</t>
  </si>
  <si>
    <t>说明：本表一式</t>
  </si>
  <si>
    <t>份，由承包人填写。监理机构复核后，监理机构</t>
  </si>
  <si>
    <t>份，返承包人</t>
  </si>
  <si>
    <t>份。</t>
  </si>
  <si>
    <t>表土剥离与回覆单元工程质量检验评定表</t>
  </si>
  <si>
    <t>项目名称：</t>
  </si>
  <si>
    <t>单位（子单位）工程名称或编码</t>
  </si>
  <si>
    <t>土地平整工程</t>
  </si>
  <si>
    <t>工程量</t>
  </si>
  <si>
    <t>分部工程名称或编码</t>
  </si>
  <si>
    <t>2024HD10地块土地平整</t>
  </si>
  <si>
    <t>检验日期</t>
  </si>
  <si>
    <t>单元工程名称</t>
  </si>
  <si>
    <t>2024HD10地块-@file_num田块</t>
  </si>
  <si>
    <t>项次</t>
  </si>
  <si>
    <t>检查项目</t>
  </si>
  <si>
    <t>质量标准</t>
  </si>
  <si>
    <t>检验结果</t>
  </si>
  <si>
    <t>原耕作层土壤见证取样</t>
  </si>
  <si>
    <t>表土剥离前，对原耕作层土壤进行见证取样，送具备资质的检测单位对土壤的N、P、K及有机质其他参数含量进行检测。检测数据作为表土回填后土壤有机质恢复程度的复测数据，具体检测内容可按现行。四川省工程建设规范《建设占用耕地表土剥离再利用技术标准》DGTJ08-2275-2018的相关要求执行</t>
  </si>
  <si>
    <t>符合要求</t>
  </si>
  <si>
    <t xml:space="preserve">表土剥离范围、剥离厚度
</t>
  </si>
  <si>
    <t>表土剥离范围、剥离厚度应符合设计要求</t>
  </si>
  <si>
    <t xml:space="preserve">表土回填后，应对原耕作层土壤的有机质含量
</t>
  </si>
  <si>
    <t>表土回填后，应对原耕作层土壤的有机质含量进行第二次检测，原耕作层土壤有机质恢复程度不应低于85%</t>
  </si>
  <si>
    <t>检测项目</t>
  </si>
  <si>
    <t>允许偏差</t>
  </si>
  <si>
    <t>检测值</t>
  </si>
  <si>
    <t>合格率
（%）</t>
  </si>
  <si>
    <t>表土剥离厚度</t>
  </si>
  <si>
    <t>不小于设计值</t>
  </si>
  <si>
    <t>@int&lt;30,33&gt;.cell</t>
  </si>
  <si>
    <t>表土回填范围</t>
  </si>
  <si>
    <t>≥90%</t>
  </si>
  <si>
    <t>@int&lt;90,93&gt;.cell</t>
  </si>
  <si>
    <t>表土回填厚度</t>
  </si>
  <si>
    <t>土壤有机质恢复程度</t>
  </si>
  <si>
    <t>≥85%</t>
  </si>
  <si>
    <t>@int&lt;83,90&gt;.cell</t>
  </si>
  <si>
    <t>砾石、碎石等粗颗粒含量</t>
  </si>
  <si>
    <t>≤10%</t>
  </si>
  <si>
    <t>@int&lt;7,12&gt;.cell</t>
  </si>
  <si>
    <t>共检测</t>
  </si>
  <si>
    <t>点，其中合格</t>
  </si>
  <si>
    <t>点，合格率</t>
  </si>
  <si>
    <t>%</t>
  </si>
  <si>
    <t>评定结论：</t>
  </si>
  <si>
    <t>合格</t>
  </si>
  <si>
    <t>不合格</t>
  </si>
  <si>
    <t>施工单位（盖章）</t>
  </si>
  <si>
    <t>监理单位（盖章）</t>
  </si>
  <si>
    <t>质检员：</t>
  </si>
  <si>
    <t xml:space="preserve"> 监理工程师：</t>
  </si>
  <si>
    <t>质量（技术）负责人：</t>
  </si>
  <si>
    <t>注：检验日期为终检日期，由施工单位负责填写。</t>
  </si>
  <si>
    <t xml:space="preserve"> 工序/</t>
  </si>
  <si>
    <t>致（监理构）：</t>
  </si>
  <si>
    <t>工程</t>
  </si>
  <si>
    <t>土方开挖单元工程施工质量验收评定表</t>
  </si>
  <si>
    <t>单位工程名称</t>
  </si>
  <si>
    <t>单元工程量</t>
  </si>
  <si>
    <t>分部工程名称</t>
  </si>
  <si>
    <t>施工单位</t>
  </si>
  <si>
    <t>四川华浩建筑工程有限公司</t>
  </si>
  <si>
    <t>单元工程名称、部位</t>
  </si>
  <si>
    <t>土方开挖</t>
  </si>
  <si>
    <t>施工日期</t>
  </si>
  <si>
    <t xml:space="preserve">    年   月  日</t>
  </si>
  <si>
    <t>-</t>
  </si>
  <si>
    <t xml:space="preserve">   年    月    日</t>
  </si>
  <si>
    <t>工序名称（或编号）</t>
  </si>
  <si>
    <t>工序质量验收评定等级</t>
  </si>
  <si>
    <t xml:space="preserve">  表土及土质岸坡清理</t>
  </si>
  <si>
    <t xml:space="preserve">  △软基或土质岸坡开挖</t>
  </si>
  <si>
    <t>施工
单位
自评
意见</t>
  </si>
  <si>
    <t>各工序施工质量全部合格，其中优良工序占</t>
  </si>
  <si>
    <t>%，且主要工序达到</t>
  </si>
  <si>
    <t>等级，各项</t>
  </si>
  <si>
    <t>报验资料</t>
  </si>
  <si>
    <t>SL 631-2012的要求。</t>
  </si>
  <si>
    <t>单元工程质量等级评定为：</t>
  </si>
  <si>
    <t>。</t>
  </si>
  <si>
    <t>（签字，加盖公章）</t>
  </si>
  <si>
    <t>监理
单位
复核
意见</t>
  </si>
  <si>
    <t>经抽查并查验相关检验报告和检验资料，各工序施工质量全部合格，其中优良工序占</t>
  </si>
  <si>
    <t>%，</t>
  </si>
  <si>
    <t>且主要工序达到</t>
  </si>
  <si>
    <t>等级，各项报验资料</t>
  </si>
  <si>
    <t xml:space="preserve"> 注：本表所填“单元工程量”不作为施工单位工程量结算计量的依据。</t>
  </si>
  <si>
    <r>
      <rPr>
        <b/>
        <u/>
        <sz val="14"/>
        <color rgb="FFFF0000"/>
        <rFont val="宋体"/>
        <charset val="134"/>
      </rPr>
      <t>布拖2024年高标准农田建设项目（增发国债）</t>
    </r>
    <r>
      <rPr>
        <b/>
        <sz val="14"/>
        <color rgb="FF000000"/>
        <rFont val="宋体"/>
        <charset val="134"/>
      </rPr>
      <t>工程</t>
    </r>
  </si>
  <si>
    <r>
      <rPr>
        <b/>
        <sz val="14"/>
        <color rgb="FF000000"/>
        <rFont val="宋体"/>
        <charset val="134"/>
      </rPr>
      <t>表</t>
    </r>
    <r>
      <rPr>
        <b/>
        <sz val="14"/>
        <color rgb="FF000000"/>
        <rFont val="Cambria"/>
        <charset val="134"/>
      </rPr>
      <t xml:space="preserve">1.1.1                          </t>
    </r>
    <r>
      <rPr>
        <b/>
        <sz val="14"/>
        <color rgb="FF000000"/>
        <rFont val="宋体"/>
        <charset val="134"/>
      </rPr>
      <t>表土及土质岸坡清理工序施工质量验收评定表</t>
    </r>
    <r>
      <rPr>
        <b/>
        <sz val="11"/>
        <color rgb="FFFF0000"/>
        <rFont val="宋体"/>
        <charset val="134"/>
      </rPr>
      <t>（未找到对应设计值）</t>
    </r>
  </si>
  <si>
    <t>均质土坝工程</t>
  </si>
  <si>
    <t>工序编号</t>
  </si>
  <si>
    <t>/</t>
  </si>
  <si>
    <t>坝基开挖与处理</t>
  </si>
  <si>
    <r>
      <rPr>
        <sz val="9"/>
        <color rgb="FFFF0000"/>
        <rFont val="宋体"/>
        <charset val="134"/>
      </rPr>
      <t>土方开挖</t>
    </r>
    <r>
      <rPr>
        <sz val="9"/>
        <color rgb="FFFF0000"/>
        <rFont val="汉仪青云简"/>
        <charset val="134"/>
      </rPr>
      <t xml:space="preserve">  </t>
    </r>
    <r>
      <rPr>
        <sz val="9"/>
        <color rgb="FFFF0000"/>
        <rFont val="宋体"/>
        <charset val="134"/>
      </rPr>
      <t>桩号：</t>
    </r>
    <r>
      <rPr>
        <sz val="9"/>
        <color rgb="FFFF0000"/>
        <rFont val="汉仪青云简"/>
        <charset val="134"/>
      </rPr>
      <t>0+100</t>
    </r>
    <r>
      <rPr>
        <sz val="9"/>
        <color rgb="FFFF0000"/>
        <rFont val="宋体"/>
        <charset val="134"/>
      </rPr>
      <t>～</t>
    </r>
    <r>
      <rPr>
        <sz val="9"/>
        <color rgb="FFFF0000"/>
        <rFont val="汉仪青云简"/>
        <charset val="134"/>
      </rPr>
      <t xml:space="preserve">0+150  </t>
    </r>
    <r>
      <rPr>
        <sz val="9"/>
        <color rgb="FFFF0000"/>
        <rFont val="宋体"/>
        <charset val="134"/>
      </rPr>
      <t>▽</t>
    </r>
    <r>
      <rPr>
        <sz val="9"/>
        <color rgb="FFFF0000"/>
        <rFont val="汉仪青云简"/>
        <charset val="134"/>
      </rPr>
      <t>55.300m</t>
    </r>
  </si>
  <si>
    <t xml:space="preserve">    年   月   日～    年   月   日</t>
  </si>
  <si>
    <t>检验项目</t>
  </si>
  <si>
    <t>质量要求</t>
  </si>
  <si>
    <t>检查记录</t>
  </si>
  <si>
    <t>合格数</t>
  </si>
  <si>
    <t>合格率</t>
  </si>
  <si>
    <t>主控项目</t>
  </si>
  <si>
    <t>表土清理</t>
  </si>
  <si>
    <t>树木、草皮、树根、乱石、坟墓以及各种建筑物全部清除；水井、泉眼、地道、坑窖等洞穴的处理符合设计要求</t>
  </si>
  <si>
    <t>树木、草皮、树根已经清除，无坟墓、水井、泉眼等，检查结果完全符合质量要求。</t>
  </si>
  <si>
    <t>不良土质的处理</t>
  </si>
  <si>
    <t>淤泥、腐殖质土、泥炭土全部清除；对风化岩石、坡积物、残积物、滑坡体、粉土、细砂等处理符合设计要求</t>
  </si>
  <si>
    <t>淤泥、腐殖质土、泥炭土全部清除，无其他不良土质，检查结果完全符合质量要求。</t>
  </si>
  <si>
    <t>地质坑、孔处理</t>
  </si>
  <si>
    <t>构筑物基础区范围内的地质探孔、竖井、试坑的处理符合设计要求；回填材料质量满足设计要求</t>
  </si>
  <si>
    <t>地质探孔在桩号0+120处，孔直径2m，采用回填灌浆处理，检查结果完全符合质量要求。</t>
  </si>
  <si>
    <t>一般项目</t>
  </si>
  <si>
    <t>清理范围</t>
  </si>
  <si>
    <t>人工清理</t>
  </si>
  <si>
    <t>满足设计要求。长、宽边线允许偏差0~50cm</t>
  </si>
  <si>
    <t>机械清理</t>
  </si>
  <si>
    <t>满足设计要求，长、宽边线允许偏差0~100cm</t>
  </si>
  <si>
    <r>
      <rPr>
        <sz val="9"/>
        <color rgb="FFFF0000"/>
        <rFont val="宋体"/>
        <charset val="134"/>
      </rPr>
      <t>从设计中心测量，清理长度：</t>
    </r>
    <r>
      <rPr>
        <sz val="9"/>
        <color rgb="FFFF0000"/>
        <rFont val="汉仪青云简"/>
        <charset val="134"/>
      </rPr>
      <t>25m</t>
    </r>
    <r>
      <rPr>
        <sz val="9"/>
        <color rgb="FFFF0000"/>
        <rFont val="宋体"/>
        <charset val="134"/>
      </rPr>
      <t>，宽度：</t>
    </r>
    <r>
      <rPr>
        <sz val="9"/>
        <color rgb="FFFF0000"/>
        <rFont val="汉仪青云简"/>
        <charset val="134"/>
      </rPr>
      <t>15m</t>
    </r>
    <r>
      <rPr>
        <sz val="9"/>
        <color rgb="FFFF0000"/>
        <rFont val="宋体"/>
        <charset val="134"/>
      </rPr>
      <t>，实测结果为：</t>
    </r>
    <r>
      <rPr>
        <sz val="9"/>
        <color rgb="FFFF0000"/>
        <rFont val="汉仪青云简"/>
        <charset val="134"/>
      </rPr>
      <t xml:space="preserve">
</t>
    </r>
    <r>
      <rPr>
        <sz val="9"/>
        <color rgb="FFFF0000"/>
        <rFont val="宋体"/>
        <charset val="134"/>
      </rPr>
      <t>长度：@float.2&lt;25,26&gt;，@float.2&lt;25,26&gt;，@float.2&lt;25,26&gt;，@float.2&lt;25,26&gt;，@float.2&lt;25,26&gt;，@float.2&lt;25,26&gt;，@float.2&lt;25,26&gt;，@float.2&lt;25,26&gt;，@float.2&lt;25,26&gt;，@float.2&lt;25,26&gt;</t>
    </r>
    <r>
      <rPr>
        <sz val="9"/>
        <color rgb="FFFF0000"/>
        <rFont val="汉仪青云简"/>
        <charset val="134"/>
      </rPr>
      <t xml:space="preserve">
</t>
    </r>
    <r>
      <rPr>
        <sz val="9"/>
        <color rgb="FFFF0000"/>
        <rFont val="宋体"/>
        <charset val="134"/>
      </rPr>
      <t>宽度：@float.2&lt;15,16&gt;，@float.2&lt;15,16&gt;，@float.2&lt;15,16&gt;，@float.2&lt;15,16&gt;，@float.2&lt;15,16&gt;，@float.2&lt;15,16&gt;，@float.2&lt;15,16&gt;，@float.2&lt;15,16&gt;，@float.2&lt;15,16&gt;，@float.2&lt;15,16&gt;</t>
    </r>
  </si>
  <si>
    <t>土质岸边坡度</t>
  </si>
  <si>
    <r>
      <rPr>
        <sz val="9"/>
        <rFont val="宋体"/>
        <charset val="134"/>
      </rPr>
      <t>不陡于设计边坡</t>
    </r>
    <r>
      <rPr>
        <b/>
        <sz val="9"/>
        <color indexed="10"/>
        <rFont val="宋体"/>
        <charset val="134"/>
      </rPr>
      <t>（1:0.5）</t>
    </r>
  </si>
  <si>
    <t>1:@float.1&lt;2.0,2.5&gt;，1:@float.1&lt;2.0,2.5&gt;，1:@float.1&lt;2.0,2.5&gt;，1:@float.1&lt;2.0,2.5&gt;，1:@float.1&lt;2.0,2.5&gt;</t>
  </si>
  <si>
    <t xml:space="preserve">施工
单位
自评
意见
</t>
  </si>
  <si>
    <r>
      <rPr>
        <sz val="9"/>
        <rFont val="宋体"/>
        <charset val="134"/>
      </rPr>
      <t xml:space="preserve">    主控项目检验点全部合格，一般项目逐项检验点的合格率均不小于</t>
    </r>
    <r>
      <rPr>
        <u/>
        <sz val="9"/>
        <rFont val="宋体"/>
        <charset val="134"/>
      </rPr>
      <t xml:space="preserve">  </t>
    </r>
    <r>
      <rPr>
        <u/>
        <sz val="9"/>
        <color rgb="FFFF0000"/>
        <rFont val="宋体"/>
        <charset val="134"/>
      </rPr>
      <t>70</t>
    </r>
    <r>
      <rPr>
        <u/>
        <sz val="9"/>
        <rFont val="宋体"/>
        <charset val="134"/>
      </rPr>
      <t xml:space="preserve">    </t>
    </r>
    <r>
      <rPr>
        <sz val="9"/>
        <rFont val="宋体"/>
        <charset val="134"/>
      </rPr>
      <t>%，且不合格点不集中分布。</t>
    </r>
  </si>
  <si>
    <r>
      <rPr>
        <sz val="9"/>
        <rFont val="宋体"/>
        <charset val="134"/>
      </rPr>
      <t>各项报验资料</t>
    </r>
    <r>
      <rPr>
        <u/>
        <sz val="9"/>
        <rFont val="宋体"/>
        <charset val="134"/>
      </rPr>
      <t xml:space="preserve">     </t>
    </r>
    <r>
      <rPr>
        <u/>
        <sz val="9"/>
        <color rgb="FFFF0000"/>
        <rFont val="宋体"/>
        <charset val="134"/>
      </rPr>
      <t xml:space="preserve">符合 </t>
    </r>
    <r>
      <rPr>
        <u/>
        <sz val="9"/>
        <rFont val="宋体"/>
        <charset val="134"/>
      </rPr>
      <t xml:space="preserve">   </t>
    </r>
    <r>
      <rPr>
        <sz val="9"/>
        <rFont val="宋体"/>
        <charset val="134"/>
      </rPr>
      <t>SL631—2012的要求。</t>
    </r>
  </si>
  <si>
    <r>
      <rPr>
        <sz val="9"/>
        <rFont val="宋体"/>
        <charset val="134"/>
      </rPr>
      <t xml:space="preserve">    工序质量等级评定为：</t>
    </r>
    <r>
      <rPr>
        <u/>
        <sz val="9"/>
        <rFont val="宋体"/>
        <charset val="134"/>
      </rPr>
      <t xml:space="preserve">   </t>
    </r>
    <r>
      <rPr>
        <u/>
        <sz val="9"/>
        <color rgb="FFFF0000"/>
        <rFont val="宋体"/>
        <charset val="134"/>
      </rPr>
      <t xml:space="preserve">合格 </t>
    </r>
    <r>
      <rPr>
        <u/>
        <sz val="9"/>
        <rFont val="宋体"/>
        <charset val="134"/>
      </rPr>
      <t xml:space="preserve">     </t>
    </r>
    <r>
      <rPr>
        <sz val="9"/>
        <rFont val="宋体"/>
        <charset val="134"/>
      </rPr>
      <t>。</t>
    </r>
  </si>
  <si>
    <t>(签字，加盖公章）       年   月   日</t>
  </si>
  <si>
    <t xml:space="preserve">监理
单位
复核
意见
</t>
  </si>
  <si>
    <r>
      <rPr>
        <sz val="9"/>
        <rFont val="宋体"/>
        <charset val="134"/>
      </rPr>
      <t xml:space="preserve">    经复核，主控项目检验点全部合格，一般项目逐项检验点的合格率均不小于</t>
    </r>
    <r>
      <rPr>
        <u/>
        <sz val="9"/>
        <rFont val="宋体"/>
        <charset val="134"/>
      </rPr>
      <t xml:space="preserve">      </t>
    </r>
    <r>
      <rPr>
        <sz val="9"/>
        <rFont val="宋体"/>
        <charset val="134"/>
      </rPr>
      <t>%，且不合格点不集中分布。</t>
    </r>
  </si>
  <si>
    <r>
      <rPr>
        <sz val="9"/>
        <rFont val="宋体"/>
        <charset val="134"/>
      </rPr>
      <t>各项报验资料</t>
    </r>
    <r>
      <rPr>
        <u/>
        <sz val="9"/>
        <rFont val="宋体"/>
        <charset val="134"/>
      </rPr>
      <t xml:space="preserve">         </t>
    </r>
    <r>
      <rPr>
        <sz val="9"/>
        <rFont val="宋体"/>
        <charset val="134"/>
      </rPr>
      <t>SL631—2012的要求。</t>
    </r>
  </si>
  <si>
    <r>
      <rPr>
        <sz val="9"/>
        <rFont val="宋体"/>
        <charset val="134"/>
      </rPr>
      <t xml:space="preserve">    工序质量等级评定为：</t>
    </r>
    <r>
      <rPr>
        <u/>
        <sz val="9"/>
        <rFont val="宋体"/>
        <charset val="134"/>
      </rPr>
      <t xml:space="preserve">          </t>
    </r>
    <r>
      <rPr>
        <sz val="9"/>
        <rFont val="宋体"/>
        <charset val="134"/>
      </rPr>
      <t>。</t>
    </r>
  </si>
  <si>
    <r>
      <rPr>
        <b/>
        <sz val="14"/>
        <color rgb="FF000000"/>
        <rFont val="宋体"/>
        <charset val="134"/>
      </rPr>
      <t>表</t>
    </r>
    <r>
      <rPr>
        <b/>
        <sz val="14"/>
        <color rgb="FF000000"/>
        <rFont val="Cambria"/>
        <charset val="134"/>
      </rPr>
      <t xml:space="preserve">1.1.2                       </t>
    </r>
    <r>
      <rPr>
        <b/>
        <sz val="14"/>
        <color rgb="FF000000"/>
        <rFont val="宋体"/>
        <charset val="134"/>
      </rPr>
      <t>软基或土质岸坡开挖工序施工质量验收评定表</t>
    </r>
    <r>
      <rPr>
        <b/>
        <sz val="12"/>
        <color rgb="FFFF0000"/>
        <rFont val="宋体"/>
        <charset val="134"/>
      </rPr>
      <t>（未找到对应设计值）</t>
    </r>
  </si>
  <si>
    <t xml:space="preserve">     年   月   日～     年   月   日</t>
  </si>
  <si>
    <t>保护层开挖</t>
  </si>
  <si>
    <t>保护层开挖方式应符合设计要求，在接近建基面时，宜使用小型机具或人工挖除，不应扰动建基面以下的原地基</t>
  </si>
  <si>
    <r>
      <rPr>
        <sz val="9"/>
        <color rgb="FFFF0000"/>
        <rFont val="宋体"/>
        <charset val="134"/>
      </rPr>
      <t>保护层开挖厚度50cm</t>
    </r>
    <r>
      <rPr>
        <sz val="9"/>
        <rFont val="宋体"/>
        <charset val="134"/>
      </rPr>
      <t>，采用人工开挖，对原地基无扰动，检查结果完全符合质量要求。</t>
    </r>
  </si>
  <si>
    <t>建基面处理</t>
  </si>
  <si>
    <t>构筑物软基和土质岸坡开挖面平顺。软基和土质岸坡与土质构筑物接触时，采用斜面连接，无台阶、急剧变坡及反坡</t>
  </si>
  <si>
    <t>建基面处理采用斜面连接，无台阶、急剧变坡及反坡，检查结果完全符合质量要求</t>
  </si>
  <si>
    <t>渗水处理</t>
  </si>
  <si>
    <t>构筑物基础区及土质岸坡渗水(含泉眼）妥善引排或封堵，建基面清洁无积水</t>
  </si>
  <si>
    <t>无渗水点，建基面清洁无积水，检查结果完全符合质量要求</t>
  </si>
  <si>
    <t xml:space="preserve">基
坑
断
面
尺
寸
及
开
挖
面
平
整
度
</t>
  </si>
  <si>
    <t xml:space="preserve">无
结
构
要
求
或
无
配
筋
</t>
  </si>
  <si>
    <t>长或宽不大于10m</t>
  </si>
  <si>
    <r>
      <rPr>
        <sz val="9"/>
        <rFont val="宋体"/>
        <charset val="134"/>
      </rPr>
      <t>符合设计要求，允许偏差为
－10～20cm</t>
    </r>
    <r>
      <rPr>
        <b/>
        <sz val="9"/>
        <color indexed="10"/>
        <rFont val="宋体"/>
        <charset val="134"/>
      </rPr>
      <t>（设计宽390cm）</t>
    </r>
  </si>
  <si>
    <t>长或宽大于10m</t>
  </si>
  <si>
    <t>符合设计要求，允许偏差为
－20～30cm</t>
  </si>
  <si>
    <t>坑（槽）底部标高</t>
  </si>
  <si>
    <r>
      <rPr>
        <sz val="9"/>
        <rFont val="宋体"/>
        <charset val="134"/>
      </rPr>
      <t>符合设计要求，允许偏差为
－10～20cm</t>
    </r>
    <r>
      <rPr>
        <b/>
        <sz val="9"/>
        <color indexed="10"/>
        <rFont val="宋体"/>
        <charset val="134"/>
      </rPr>
      <t>（设计标高1458.14-1458.01）</t>
    </r>
  </si>
  <si>
    <t>垂直或斜面平整度</t>
  </si>
  <si>
    <t>符合设计要求，允许偏差为20cm</t>
  </si>
  <si>
    <t>有
结
构
要
求
有
配
筋
预
埋
件</t>
  </si>
  <si>
    <t>符合设计要求，允许偏差为
0～20cm</t>
  </si>
  <si>
    <t>符合设计要求，允许偏差为
0～30cm</t>
  </si>
  <si>
    <r>
      <rPr>
        <sz val="9"/>
        <color rgb="FFFF0000"/>
        <rFont val="宋体"/>
        <charset val="134"/>
      </rPr>
      <t>长度：@float.2&lt;50,50.3&gt;，@float.2&lt;50,50.3&gt;，@float.2&lt;50,50.3&gt;，@float.2&lt;50,50.3&gt;，@float.2&lt;50,50.3&gt;，@float.2&lt;50,50.3&gt;，@float.2&lt;50,50.3&gt;，@float.2&lt;50,50.3&gt;，@float.2&lt;50,50.3&gt;；</t>
    </r>
    <r>
      <rPr>
        <sz val="9"/>
        <color rgb="FFFF0000"/>
        <rFont val="汉仪青云简"/>
        <charset val="134"/>
      </rPr>
      <t xml:space="preserve">
</t>
    </r>
    <r>
      <rPr>
        <sz val="9"/>
        <color rgb="FFFF0000"/>
        <rFont val="宋体"/>
        <charset val="134"/>
      </rPr>
      <t>宽度：@float.2&lt;20,20.3&gt;，@float.2&lt;20,20.3&gt;，@float.2&lt;20,20.3&gt;，@float.2&lt;20,20.3&gt;，@float.2&lt;20,20.3&gt;，@float.2&lt;20,20.3&gt;，@float.2&lt;20,20.3&gt;，@float.2&lt;20,20.3&gt;，@float.2&lt;20,20.3&gt;</t>
    </r>
  </si>
  <si>
    <t>50m×20m</t>
  </si>
  <si>
    <t>坑（槽）底部标局</t>
  </si>
  <si>
    <t>@float.2&lt;55.3,55.5&gt;，@float.2&lt;55.3,55.5&gt;，@float.2&lt;55.3,55.5&gt;，@float.2&lt;55.3,55.5&gt;，@float.2&lt;55.3,55.5&gt;，@float.2&lt;55.3,55.5&gt;，@float.2&lt;55.3,55.5&gt;，@float.2&lt;55.3,55.5&gt;</t>
  </si>
  <si>
    <t>高程55.30m</t>
  </si>
  <si>
    <t>斜面平整度</t>
  </si>
  <si>
    <t>符合设计要求，允许偏差为15cm</t>
  </si>
  <si>
    <t>@int&lt;7,15&gt;，@int&lt;7,15&gt;，@int&lt;7,15&gt;，@int&lt;7,15&gt;，@int&lt;7,15&gt;，@int&lt;7,15&gt;，@int&lt;7,15&gt;，@int&lt;7,15&gt;</t>
  </si>
  <si>
    <t>施工
单位
自评
意见</t>
  </si>
  <si>
    <t xml:space="preserve">      (签字，加盖公章）          年   月   日</t>
  </si>
  <si>
    <t>监理
单位
复核
意见</t>
  </si>
  <si>
    <r>
      <rPr>
        <sz val="9"/>
        <rFont val="宋体"/>
        <charset val="134"/>
      </rPr>
      <t xml:space="preserve">    工序质量等级评定为：</t>
    </r>
    <r>
      <rPr>
        <u/>
        <sz val="9"/>
        <rFont val="宋体"/>
        <charset val="134"/>
      </rPr>
      <t xml:space="preserve">         </t>
    </r>
    <r>
      <rPr>
        <sz val="9"/>
        <rFont val="宋体"/>
        <charset val="134"/>
      </rPr>
      <t>。</t>
    </r>
  </si>
  <si>
    <t>(签字，加盖公章）          年   月   日</t>
  </si>
  <si>
    <t>土料填筑</t>
  </si>
  <si>
    <t>土料填筑单元工程施工质量验收评定表</t>
  </si>
  <si>
    <t xml:space="preserve"> 年   月   日</t>
  </si>
  <si>
    <t>年    月    日</t>
  </si>
  <si>
    <t>结合面处理</t>
  </si>
  <si>
    <t>卸料及铺填</t>
  </si>
  <si>
    <t>△土料压实</t>
  </si>
  <si>
    <t>接缝处理</t>
  </si>
  <si>
    <t>符合</t>
  </si>
  <si>
    <t>布拖2024年高标准农田建设项目（增发国债）</t>
  </si>
  <si>
    <t xml:space="preserve">表 1.6.1 </t>
  </si>
  <si>
    <t>土料填筑结合面处理工序施工质量验收评定表</t>
  </si>
  <si>
    <t>（未找到对应设计值）</t>
  </si>
  <si>
    <t>坝体填筑</t>
  </si>
  <si>
    <t>土料填筑  桩号：0+100～0+150   ▽131.500～131.800m</t>
  </si>
  <si>
    <t>主
控
项
目</t>
  </si>
  <si>
    <t>建基面地基压实</t>
  </si>
  <si>
    <t xml:space="preserve">  黏性土、砾质土地基土层</t>
  </si>
  <si>
    <t xml:space="preserve">  压实度等指标符合设计要求</t>
  </si>
  <si>
    <t>压实度检测全部合格，检测点20个，检查结果完全符合质量要求，检测结果见附件。</t>
  </si>
  <si>
    <t xml:space="preserve">  无黏性土地基土层</t>
  </si>
  <si>
    <t xml:space="preserve">  相对密实度符合设计要求</t>
  </si>
  <si>
    <t xml:space="preserve">  土质建基面刨毛</t>
  </si>
  <si>
    <t xml:space="preserve">  土质地基表面刨毛3～5cm，层面刨毛均匀细致，无团块、空白</t>
  </si>
  <si>
    <r>
      <rPr>
        <sz val="10"/>
        <color rgb="FF000000"/>
        <rFont val="楷体"/>
        <charset val="134"/>
      </rPr>
      <t>土质地基表面刨毛</t>
    </r>
    <r>
      <rPr>
        <sz val="10"/>
        <color rgb="FFFF0000"/>
        <rFont val="楷体"/>
        <charset val="134"/>
      </rPr>
      <t>3～5cm</t>
    </r>
    <r>
      <rPr>
        <sz val="10"/>
        <color rgb="FF000000"/>
        <rFont val="楷体"/>
        <charset val="134"/>
      </rPr>
      <t>，层面刨毛均匀细致，无团块、空白，检查结果完全符合质量要求。</t>
    </r>
  </si>
  <si>
    <t>100%</t>
  </si>
  <si>
    <t xml:space="preserve">  岩面和混凝土面处理</t>
  </si>
  <si>
    <t xml:space="preserve">  与土质防渗体结合的岩面或混凝土面，无浮渣、污物杂物，无乳皮粉尘、油垢，无局部积水等。铺填前涂刷浓泥浆或黏土水泥砂浆，涂刷均匀，无空白，且回填及时，无风干现象</t>
  </si>
  <si>
    <t>混凝土面</t>
  </si>
  <si>
    <r>
      <rPr>
        <sz val="10"/>
        <color rgb="FF000000"/>
        <rFont val="宋体"/>
        <charset val="134"/>
      </rPr>
      <t xml:space="preserve">  涂刷厚度为</t>
    </r>
    <r>
      <rPr>
        <sz val="10"/>
        <color rgb="FFFF0000"/>
        <rFont val="宋体"/>
        <charset val="134"/>
      </rPr>
      <t>3～5mm</t>
    </r>
    <r>
      <rPr>
        <sz val="10"/>
        <color rgb="FF000000"/>
        <rFont val="宋体"/>
        <charset val="134"/>
      </rPr>
      <t>，铺浆厚度允许偏差0～2mm</t>
    </r>
  </si>
  <si>
    <t>裂隙岩面</t>
  </si>
  <si>
    <r>
      <rPr>
        <sz val="10"/>
        <color rgb="FF000000"/>
        <rFont val="宋体"/>
        <charset val="134"/>
      </rPr>
      <t xml:space="preserve">  涂刷厚度为</t>
    </r>
    <r>
      <rPr>
        <sz val="10"/>
        <color rgb="FFFF0000"/>
        <rFont val="宋体"/>
        <charset val="134"/>
      </rPr>
      <t>5～10mm</t>
    </r>
    <r>
      <rPr>
        <sz val="10"/>
        <color rgb="FF000000"/>
        <rFont val="宋体"/>
        <charset val="134"/>
      </rPr>
      <t>，铺浆厚度允许偏差0～2mm</t>
    </r>
  </si>
  <si>
    <t>一
般
项
目</t>
  </si>
  <si>
    <t xml:space="preserve">  层间结合面</t>
  </si>
  <si>
    <t xml:space="preserve">  上下层铺土的结合层面无砂砾、无杂物、表面松土、湿润均匀、无积水</t>
  </si>
  <si>
    <t>上下层铺土的结合层面无砂砾、无杂物、表面松土、湿润均匀、无积水，检查结果符合质量要求。</t>
  </si>
  <si>
    <t xml:space="preserve">  涂刷浆液质量</t>
  </si>
  <si>
    <t xml:space="preserve">  浆液稠度适宜、均匀无团块，材料配比误差不大于10%</t>
  </si>
  <si>
    <t>浆液稠度适宜、均匀无团块，材料配比误差为
3％～5％，检查结果符合质量要求。</t>
  </si>
  <si>
    <t>主控项目检验点全部合格，一般项目逐项检验点的合格率均不小于</t>
  </si>
  <si>
    <t xml:space="preserve"> %，且不合格点不集中分</t>
  </si>
  <si>
    <t>布，各项报验资料</t>
  </si>
  <si>
    <t>工序质量等级评定为：</t>
  </si>
  <si>
    <t>优良</t>
  </si>
  <si>
    <t>经复核，主控项目检验点全部合格，一般项目逐项检验点的合格率均不小于</t>
  </si>
  <si>
    <t>%，且不合格点不</t>
  </si>
  <si>
    <t>集中分布，各项报验资料</t>
  </si>
  <si>
    <r>
      <rPr>
        <b/>
        <u/>
        <sz val="12"/>
        <color rgb="FFFF0000"/>
        <rFont val="宋体"/>
        <charset val="134"/>
      </rPr>
      <t>布拖2024年高标准农田建设项目（增发国债）</t>
    </r>
    <r>
      <rPr>
        <b/>
        <sz val="12"/>
        <color indexed="8"/>
        <rFont val="宋体"/>
        <charset val="134"/>
      </rPr>
      <t>工程</t>
    </r>
  </si>
  <si>
    <t>表 1.6.2</t>
  </si>
  <si>
    <t>土料填筑卸料及铺填工序施工质量验收评定表</t>
  </si>
  <si>
    <t>土料填筑  桩号：0+100～0+150  
 ▽131.500～131.800m</t>
  </si>
  <si>
    <t xml:space="preserve">      年  月  日</t>
  </si>
  <si>
    <t xml:space="preserve">  卸料</t>
  </si>
  <si>
    <t xml:space="preserve">  卸料、平料符合设计要求，均衡上升。施工面平整、土料分区清晰，上下层分段位置错开</t>
  </si>
  <si>
    <t>倒退法卸料、土料分区清晰，上下层分段位置错开，检查结果完全符合质量要求。</t>
  </si>
  <si>
    <t xml:space="preserve">  铺填</t>
  </si>
  <si>
    <t xml:space="preserve">  铺填应有富裕量，防渗铺盖在坝体以内部分应与心墙或斜墙同时铺填。铺料表面应保持湿润，符合施工含水量</t>
  </si>
  <si>
    <t>上下游坝坡铺填有富裕量，防渗铺盖在坝体以内部分与心墙同时铺填。铺料表面湿润，符合施工含水量，检查结果完全符合质量要求。</t>
  </si>
  <si>
    <t xml:space="preserve">  结合部土料铺填</t>
  </si>
  <si>
    <t xml:space="preserve">  防渗体与地基(包括齿槽)、岸坡、溢洪道边墙、坝下埋管及混凝土齿墙等结合部位的土料铺填，无架空现象。土料厚度均匀，表面平整，无团块、无粗粒集中，边线整齐</t>
  </si>
  <si>
    <t>防渗体与溢洪道边墙土料铺填无架空现象。土料厚度均匀，表面平整，无团块、无粗粒集中，边线整齐，检查结果符合质量要求。</t>
  </si>
  <si>
    <t xml:space="preserve">  铺土厚度</t>
  </si>
  <si>
    <t xml:space="preserve">  铺土厚度均匀，符合设计要求，允许偏差为-5～0cm</t>
  </si>
  <si>
    <t>@int&lt;28,30&gt;，@int&lt;28,30&gt;，@int&lt;28,30&gt;</t>
  </si>
  <si>
    <t>设计值：</t>
  </si>
  <si>
    <t>铺填边线</t>
  </si>
  <si>
    <t>人工施工</t>
  </si>
  <si>
    <r>
      <rPr>
        <sz val="10"/>
        <color rgb="FF000000"/>
        <rFont val="宋体"/>
        <charset val="134"/>
      </rPr>
      <t xml:space="preserve">  铺填边线应有一定宽裕度，压实削坡后坝体铺填边线满足</t>
    </r>
    <r>
      <rPr>
        <sz val="10"/>
        <color rgb="FFFF0000"/>
        <rFont val="宋体"/>
        <charset val="134"/>
      </rPr>
      <t>0～10cm</t>
    </r>
    <r>
      <rPr>
        <sz val="10"/>
        <color rgb="FF000000"/>
        <rFont val="宋体"/>
        <charset val="134"/>
      </rPr>
      <t>要求</t>
    </r>
  </si>
  <si>
    <t>机械施工</t>
  </si>
  <si>
    <r>
      <rPr>
        <sz val="10"/>
        <color rgb="FF000000"/>
        <rFont val="宋体"/>
        <charset val="134"/>
      </rPr>
      <t xml:space="preserve">  铺填边线应有一定宽裕度，压实削坡后坝体铺填边线满足</t>
    </r>
    <r>
      <rPr>
        <sz val="10"/>
        <color rgb="FFFF0000"/>
        <rFont val="宋体"/>
        <charset val="134"/>
      </rPr>
      <t>0～30cm</t>
    </r>
    <r>
      <rPr>
        <sz val="10"/>
        <color rgb="FF000000"/>
        <rFont val="宋体"/>
        <charset val="134"/>
      </rPr>
      <t>要求</t>
    </r>
  </si>
  <si>
    <t>表 1.6.3</t>
  </si>
  <si>
    <t>土料填筑土料压实工序施工质量验收评定表</t>
  </si>
  <si>
    <t>碾压参数</t>
  </si>
  <si>
    <t xml:space="preserve">  压实机具的型号、规格、碾压遍数、碾压速度、碾压振动频率、振幅和加水量应符合碾压试验确定的参数值</t>
  </si>
  <si>
    <t>现场采用自行式凸块振动碾静压2遍，振动压6遍，碾压速度2km/h，碾压振动频率30Hz，其他参数均符合碾压试验确定的参数值，检查结果完全符合质量要求。</t>
  </si>
  <si>
    <t>压实质量</t>
  </si>
  <si>
    <t xml:space="preserve">  1级、2级坝和高坝的压实度不低于98%</t>
  </si>
  <si>
    <t>@float.1&lt;98,98.5&gt;，@float.1&lt;98,98.5&gt;，@float.1&lt;98,98.5&gt;</t>
  </si>
  <si>
    <t xml:space="preserve">  3级中低坝及3级以下中坝的压实度不低于96%</t>
  </si>
  <si>
    <r>
      <rPr>
        <sz val="10"/>
        <color rgb="FF000000"/>
        <rFont val="宋体"/>
        <charset val="134"/>
      </rPr>
      <t xml:space="preserve">  土料的含水量应控制在最优量的
</t>
    </r>
    <r>
      <rPr>
        <sz val="10"/>
        <color rgb="FFFF0000"/>
        <rFont val="宋体"/>
        <charset val="134"/>
      </rPr>
      <t>-2%～3%</t>
    </r>
    <r>
      <rPr>
        <sz val="10"/>
        <color rgb="FF000000"/>
        <rFont val="宋体"/>
        <charset val="134"/>
      </rPr>
      <t>之间</t>
    </r>
  </si>
  <si>
    <t>@float.1&lt;1,3&gt;%，@float.1&lt;1,3&gt;%，@float.1&lt;1,3&gt;%</t>
  </si>
  <si>
    <t xml:space="preserve">  取样合格率不小于90%</t>
  </si>
  <si>
    <t xml:space="preserve">  不合格试样不应集中，且不低于压实度设计值的98%</t>
  </si>
  <si>
    <t xml:space="preserve">  压实土料的渗透系数</t>
  </si>
  <si>
    <t xml:space="preserve">  符合设计要求</t>
  </si>
  <si>
    <t xml:space="preserve">  碾压搭接带宽度</t>
  </si>
  <si>
    <t>垂直碾压方向</t>
  </si>
  <si>
    <r>
      <rPr>
        <sz val="10"/>
        <color rgb="FF000000"/>
        <rFont val="宋体"/>
        <charset val="134"/>
      </rPr>
      <t>搭接宽度</t>
    </r>
    <r>
      <rPr>
        <sz val="10"/>
        <color rgb="FFFF0000"/>
        <rFont val="宋体"/>
        <charset val="134"/>
      </rPr>
      <t>0.3～0.5m</t>
    </r>
  </si>
  <si>
    <t>@float.1&lt;1,1.5&gt;，@float.1&lt;1,1.5&gt;，@float.1&lt;1,1.5&gt;，@float.1&lt;1,1.5&gt;，@float.1&lt;1,1.5&gt;，@float.1&lt;1,1.5&gt;</t>
  </si>
  <si>
    <t>顺碾压方向</t>
  </si>
  <si>
    <r>
      <rPr>
        <sz val="10"/>
        <color rgb="FF000000"/>
        <rFont val="宋体"/>
        <charset val="134"/>
      </rPr>
      <t>搭接宽度</t>
    </r>
    <r>
      <rPr>
        <sz val="10"/>
        <color rgb="FFFF0000"/>
        <rFont val="宋体"/>
        <charset val="134"/>
      </rPr>
      <t>1.0～1.5m</t>
    </r>
  </si>
  <si>
    <t>@float.1&lt;0.3,0.4&gt;，@float.1&lt;0.3,0.4&gt;，@float.1&lt;0.3,0.4&gt;，@float.1&lt;0.3,0.4&gt;，@float.1&lt;0.3,0.4&gt;，@float.1&lt;0.3,0.4&gt;</t>
  </si>
  <si>
    <t>碾压面处理</t>
  </si>
  <si>
    <t xml:space="preserve">  碾压表面平整，无漏压，个别有弹簧、起皮、脱空、剪力破坏部位的处理符合设计要求</t>
  </si>
  <si>
    <t>碾压表面平整，无漏压</t>
  </si>
  <si>
    <t>表 1.6.4</t>
  </si>
  <si>
    <t>土料填筑接缝处理工序施工质量验收评定表</t>
  </si>
  <si>
    <t xml:space="preserve">  结合坡面</t>
  </si>
  <si>
    <r>
      <rPr>
        <sz val="10"/>
        <color rgb="FF000000"/>
        <rFont val="宋体"/>
        <charset val="134"/>
      </rPr>
      <t xml:space="preserve">  斜墙和心墙内不应留有纵向接缝。防渗体及均质坝的横向接坡不应陡于</t>
    </r>
    <r>
      <rPr>
        <sz val="10"/>
        <color rgb="FFFF0000"/>
        <rFont val="宋体"/>
        <charset val="134"/>
      </rPr>
      <t>1：3</t>
    </r>
    <r>
      <rPr>
        <sz val="10"/>
        <color rgb="FF000000"/>
        <rFont val="宋体"/>
        <charset val="134"/>
      </rPr>
      <t>，其高差应符合设计要求，与岸坡结合坡度应符合设计要求。均质坝纵向接缝斜坡坡度和平台宽度应满足稳定要求，平台间高差不大于</t>
    </r>
    <r>
      <rPr>
        <sz val="10"/>
        <color rgb="FFFF0000"/>
        <rFont val="宋体"/>
        <charset val="134"/>
      </rPr>
      <t>15m</t>
    </r>
  </si>
  <si>
    <r>
      <rPr>
        <sz val="10"/>
        <color rgb="FF000000"/>
        <rFont val="楷体"/>
        <charset val="134"/>
      </rPr>
      <t>无纵、横向接缝，与岸坡结合坡度为</t>
    </r>
    <r>
      <rPr>
        <sz val="10"/>
        <color rgb="FFFF0000"/>
        <rFont val="楷体"/>
        <charset val="134"/>
      </rPr>
      <t>1：3</t>
    </r>
    <r>
      <rPr>
        <sz val="10"/>
        <color rgb="FF000000"/>
        <rFont val="楷体"/>
        <charset val="134"/>
      </rPr>
      <t>，符合设计要求，与混凝土溢洪道边墙及土质岸坡结合处</t>
    </r>
    <r>
      <rPr>
        <sz val="10"/>
        <color rgb="FFFF0000"/>
        <rFont val="楷体"/>
        <charset val="134"/>
      </rPr>
      <t>1.5m～2m</t>
    </r>
    <r>
      <rPr>
        <sz val="10"/>
        <color rgb="FF000000"/>
        <rFont val="楷体"/>
        <charset val="134"/>
      </rPr>
      <t>，小范围内用小型机具压实，与上下游反滤料及坝壳料骑缝碾压密实，检查结果完全符合质量要求。</t>
    </r>
  </si>
  <si>
    <t xml:space="preserve">  结合坡面碾压</t>
  </si>
  <si>
    <t xml:space="preserve">  结合坡面填土碾压密实，层面平整、无拉裂和起皮现象</t>
  </si>
  <si>
    <t>设计压实度0.96</t>
  </si>
  <si>
    <t xml:space="preserve">@float.2&lt;0.96,0.98&gt;，@float.2&lt;0.96,0.98&gt;，@float.2&lt;0.96,0.98&gt;，@float.2&lt;0.96,0.98&gt;，@float.2&lt;0.96,0.98&gt;
</t>
  </si>
  <si>
    <t xml:space="preserve">  结合坡面填土</t>
  </si>
  <si>
    <t xml:space="preserve">  填土质量符合设计要求，铺土均匀、表面平整，无团块、无风干</t>
  </si>
  <si>
    <t>填土质量符合设计要求，铺土均匀、表面平整，无团块、无风干，检查结果符合质量要求。</t>
  </si>
  <si>
    <t xml:space="preserve">  结合坡面处理</t>
  </si>
  <si>
    <t xml:space="preserve">  纵横接缝的坡面削坡、润湿、刨毛等处理符合设计要求</t>
  </si>
  <si>
    <t>检查30个点，纵横接缝的坡面削坡、润湿、刨毛等处理符合设计要求，检查结果符合质量要求。</t>
  </si>
  <si>
    <t>田埂修筑</t>
  </si>
  <si>
    <t xml:space="preserve">   □ </t>
  </si>
  <si>
    <t>单元工程质量检验评定表</t>
  </si>
  <si>
    <t>田埂的位置</t>
  </si>
  <si>
    <t>田埂的位置应符合设计要求</t>
  </si>
  <si>
    <t xml:space="preserve">符合要求  </t>
  </si>
  <si>
    <t>田埂土料</t>
  </si>
  <si>
    <t>田埂土料应符合设计要求</t>
  </si>
  <si>
    <t>田埂截面尺寸偏差</t>
  </si>
  <si>
    <t>田埂截面尺寸偏差应符合设计要求</t>
  </si>
  <si>
    <t>田埂质量</t>
  </si>
  <si>
    <t>田埂应密实，不应有松散、塌陷等质量问题</t>
  </si>
  <si>
    <t>允许偏差
（mm）</t>
  </si>
  <si>
    <t>田埂断面尺寸</t>
  </si>
  <si>
    <t>±30</t>
  </si>
  <si>
    <t>@int&lt;-30,30&gt;.cell</t>
  </si>
  <si>
    <t>顺直度</t>
  </si>
  <si>
    <t>±80</t>
  </si>
  <si>
    <t>@int&lt;-80,80&gt;.cell</t>
  </si>
  <si>
    <t xml:space="preserve">田埂顶面高程
</t>
  </si>
  <si>
    <t>±50</t>
  </si>
  <si>
    <t>@int&lt;-50,50&gt;.cell</t>
  </si>
  <si>
    <t>30</t>
  </si>
  <si>
    <t>田块平整</t>
  </si>
  <si>
    <t>田块平整单元工程质量检验评定表</t>
  </si>
  <si>
    <t xml:space="preserve">田块形状、面积大小
</t>
  </si>
  <si>
    <t>田块形状、面积大小应符合设计要求</t>
  </si>
  <si>
    <t>田面高程</t>
  </si>
  <si>
    <t>±50mm</t>
  </si>
  <si>
    <t>田面坡度</t>
  </si>
  <si>
    <t>符合设计要求</t>
  </si>
  <si>
    <t>@int&lt;3,8&gt;.cell</t>
  </si>
  <si>
    <r>
      <rPr>
        <b/>
        <u/>
        <sz val="14"/>
        <color rgb="FFFF0000"/>
        <rFont val="宋体"/>
        <charset val="134"/>
      </rPr>
      <t>布拖2024年高标准农田建设项目（增发国债）</t>
    </r>
    <r>
      <rPr>
        <b/>
        <sz val="14"/>
        <rFont val="宋体"/>
        <charset val="134"/>
      </rPr>
      <t>工程</t>
    </r>
  </si>
  <si>
    <t>表2.8        混凝土预制构件安装单元工程施工质量验收评定表</t>
  </si>
  <si>
    <t>进水闸工程</t>
  </si>
  <si>
    <r>
      <rPr>
        <sz val="9"/>
        <color rgb="FFFF0000"/>
        <rFont val="仿宋_GB2312"/>
        <charset val="134"/>
      </rPr>
      <t>9m</t>
    </r>
    <r>
      <rPr>
        <sz val="9"/>
        <color rgb="FFFF0000"/>
        <rFont val="宋体"/>
        <charset val="134"/>
      </rPr>
      <t>³</t>
    </r>
  </si>
  <si>
    <t>交通桥</t>
  </si>
  <si>
    <t>第2跨预制梁安装</t>
  </si>
  <si>
    <t xml:space="preserve">   年   月   日～   年   月   日</t>
  </si>
  <si>
    <t>构件外观质量检查</t>
  </si>
  <si>
    <t>△预制件吊装工序</t>
  </si>
  <si>
    <t>预制件接缝及接头处理</t>
  </si>
  <si>
    <r>
      <rPr>
        <sz val="10"/>
        <rFont val="宋体"/>
        <charset val="134"/>
      </rPr>
      <t xml:space="preserve">    各工序施工质量全部合格，其中优良工序占</t>
    </r>
    <r>
      <rPr>
        <u/>
        <sz val="10"/>
        <rFont val="宋体"/>
        <charset val="134"/>
      </rPr>
      <t>_</t>
    </r>
    <r>
      <rPr>
        <u/>
        <sz val="10"/>
        <color indexed="10"/>
        <rFont val="宋体"/>
        <charset val="134"/>
      </rPr>
      <t>0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%，且主要工序达到</t>
    </r>
    <r>
      <rPr>
        <u/>
        <sz val="10"/>
        <rFont val="宋体"/>
        <charset val="134"/>
      </rPr>
      <t>____</t>
    </r>
    <r>
      <rPr>
        <u/>
        <sz val="10"/>
        <color indexed="10"/>
        <rFont val="宋体"/>
        <charset val="134"/>
      </rPr>
      <t>合格</t>
    </r>
    <r>
      <rPr>
        <u/>
        <sz val="10"/>
        <rFont val="宋体"/>
        <charset val="134"/>
      </rPr>
      <t>____</t>
    </r>
    <r>
      <rPr>
        <sz val="10"/>
        <rFont val="宋体"/>
        <charset val="134"/>
      </rPr>
      <t>等级，各项报验资料</t>
    </r>
    <r>
      <rPr>
        <u/>
        <sz val="10"/>
        <rFont val="宋体"/>
        <charset val="134"/>
      </rPr>
      <t>___</t>
    </r>
    <r>
      <rPr>
        <u/>
        <sz val="10"/>
        <color indexed="10"/>
        <rFont val="宋体"/>
        <charset val="134"/>
      </rPr>
      <t>_符合</t>
    </r>
    <r>
      <rPr>
        <u/>
        <sz val="10"/>
        <rFont val="宋体"/>
        <charset val="134"/>
      </rPr>
      <t>____</t>
    </r>
    <r>
      <rPr>
        <sz val="10"/>
        <rFont val="宋体"/>
        <charset val="134"/>
      </rPr>
      <t>SL 632—2012 的要求。</t>
    </r>
  </si>
  <si>
    <r>
      <rPr>
        <sz val="10"/>
        <rFont val="宋体"/>
        <charset val="134"/>
      </rPr>
      <t xml:space="preserve">    单元工程质量等级评定为：</t>
    </r>
    <r>
      <rPr>
        <u/>
        <sz val="10"/>
        <color indexed="10"/>
        <rFont val="宋体"/>
        <charset val="134"/>
      </rPr>
      <t>合格</t>
    </r>
  </si>
  <si>
    <t xml:space="preserve">   年   月   日  </t>
  </si>
  <si>
    <r>
      <rPr>
        <sz val="10"/>
        <rFont val="宋体"/>
        <charset val="134"/>
      </rPr>
      <t xml:space="preserve">    经抽查并查验相关检验报告和检验资料，各工序施工质量全部合格，其中优良工序占</t>
    </r>
    <r>
      <rPr>
        <u/>
        <sz val="10"/>
        <rFont val="宋体"/>
        <charset val="134"/>
      </rPr>
      <t>__/__</t>
    </r>
    <r>
      <rPr>
        <sz val="10"/>
        <rFont val="宋体"/>
        <charset val="134"/>
      </rPr>
      <t>%，且主要工序达到</t>
    </r>
    <r>
      <rPr>
        <u/>
        <sz val="10"/>
        <rFont val="宋体"/>
        <charset val="134"/>
      </rPr>
      <t>_______</t>
    </r>
    <r>
      <rPr>
        <sz val="10"/>
        <rFont val="宋体"/>
        <charset val="134"/>
      </rPr>
      <t>等级，各项报验资料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SL 632—2012的要求。</t>
    </r>
  </si>
  <si>
    <t xml:space="preserve">    单元工程质量等级评定为：</t>
  </si>
  <si>
    <t>注：本表所填“单元工程量”不作为施工单位工程量结算计量的依据。</t>
  </si>
  <si>
    <t>表2.8.1      混凝土构件外观质量检查工序施工质量验收评定表</t>
  </si>
  <si>
    <t>外观检查</t>
  </si>
  <si>
    <t>无缺陷</t>
  </si>
  <si>
    <t>外观无缺陷，检查结果完全符合质量要求。</t>
  </si>
  <si>
    <t>尺寸偏差</t>
  </si>
  <si>
    <t>预制构件不应有影响结构性能和安装、使用功能的尺寸偏差</t>
  </si>
  <si>
    <t>无影响结构性能的安装、使用功能的尺寸偏差，结构尺寸完全符合质量要求。</t>
  </si>
  <si>
    <t>预制构件标识</t>
  </si>
  <si>
    <t>应在明显部位标明生产单位、构件型号、生产日期和质量验收标志</t>
  </si>
  <si>
    <t>现场浇制T型梁，标有生产日期和验收日期和安装位置编号，检查结果基本符合质量要求。</t>
  </si>
  <si>
    <t>构件上的预埋件、插筋和预留孔洞的规格、位置和数量</t>
  </si>
  <si>
    <t>应符合标准图或设计的要求</t>
  </si>
  <si>
    <t>构件上的预埋件、连接钢筋预留孔洞等的规格、数量、位置均基本符合质量要求。</t>
  </si>
  <si>
    <r>
      <rPr>
        <sz val="10"/>
        <rFont val="宋体"/>
        <charset val="134"/>
      </rPr>
      <t xml:space="preserve">    主控项目检验点全部合格，一般项目逐项检验点的合格率均不小于</t>
    </r>
    <r>
      <rPr>
        <u/>
        <sz val="10"/>
        <rFont val="宋体"/>
        <charset val="134"/>
      </rPr>
      <t>___</t>
    </r>
    <r>
      <rPr>
        <u/>
        <sz val="10"/>
        <color indexed="10"/>
        <rFont val="宋体"/>
        <charset val="134"/>
      </rPr>
      <t>70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%，且不合格点不集中分布，各项报验资料</t>
    </r>
    <r>
      <rPr>
        <u/>
        <sz val="10"/>
        <rFont val="宋体"/>
        <charset val="134"/>
      </rPr>
      <t>___</t>
    </r>
    <r>
      <rPr>
        <u/>
        <sz val="10"/>
        <color indexed="10"/>
        <rFont val="宋体"/>
        <charset val="134"/>
      </rPr>
      <t>符合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SL 632—2012的要求。</t>
    </r>
  </si>
  <si>
    <r>
      <rPr>
        <sz val="10"/>
        <rFont val="宋体"/>
        <charset val="134"/>
      </rPr>
      <t xml:space="preserve">    工序质量等级评定为：</t>
    </r>
    <r>
      <rPr>
        <u/>
        <sz val="10"/>
        <color indexed="10"/>
        <rFont val="宋体"/>
        <charset val="134"/>
      </rPr>
      <t>合格</t>
    </r>
  </si>
  <si>
    <r>
      <rPr>
        <sz val="10"/>
        <rFont val="宋体"/>
        <charset val="134"/>
      </rPr>
      <t xml:space="preserve">    经复核，主控项目检验点全部合格，一般项目逐项检验点的合格率均不小于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%，且不合格点不集中分布，各项报验资料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SL 632—2012的要求。</t>
    </r>
  </si>
  <si>
    <t xml:space="preserve">    工序质量等级评定为：</t>
  </si>
  <si>
    <r>
      <rPr>
        <b/>
        <sz val="14"/>
        <rFont val="宋体"/>
        <charset val="134"/>
      </rPr>
      <t>表2.8.2            预制件吊装工序施工质量验收评定表</t>
    </r>
    <r>
      <rPr>
        <b/>
        <sz val="14"/>
        <color rgb="FFFF0000"/>
        <rFont val="宋体"/>
        <charset val="134"/>
      </rPr>
      <t>（未找到对应设计值）</t>
    </r>
  </si>
  <si>
    <t>构件型号和安装位置</t>
  </si>
  <si>
    <t>T型梁浇制符合质量要求，安装位置符合梁上标明的安装位置编号，检查结果完全符合质量要求。</t>
  </si>
  <si>
    <t>构件吊装时的混凝土强度</t>
  </si>
  <si>
    <t>符合设计要求。设计无规定时，不应低于设计强度标准值的70%；预应力构件孔道灌浆的强度，应达到设计要求</t>
  </si>
  <si>
    <t>吊装时已养护28天并已做抗压强度试验，抗压强度34.7MPa，检查结果完全符合质量要求。</t>
  </si>
  <si>
    <t>设计强度C30</t>
  </si>
  <si>
    <t>柱</t>
  </si>
  <si>
    <t>中心线和轴线位移</t>
  </si>
  <si>
    <t>允许偏差±5mm</t>
  </si>
  <si>
    <t>垂直度</t>
  </si>
  <si>
    <t>柱高10m以下</t>
  </si>
  <si>
    <t>允许偏差10mm</t>
  </si>
  <si>
    <t>柱高10m及其以上</t>
  </si>
  <si>
    <t>允许偏差20mm</t>
  </si>
  <si>
    <t>牛腿上表面、柱顶标高</t>
  </si>
  <si>
    <t>允许偏差-8～Omm</t>
  </si>
  <si>
    <t>梁或吊车梁</t>
  </si>
  <si>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@int&lt;-5,5&gt;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 xml:space="preserve">@int&lt;-5,5&gt;
</t>
    </r>
  </si>
  <si>
    <t>梁顶面标高</t>
  </si>
  <si>
    <t>允许偏差-5～Omm</t>
  </si>
  <si>
    <r>
      <rPr>
        <sz val="10"/>
        <color rgb="FFFF0000"/>
        <rFont val="宋体"/>
        <charset val="134"/>
      </rPr>
      <t>设计值</t>
    </r>
    <r>
      <rPr>
        <sz val="10"/>
        <color rgb="FFFF0000"/>
        <rFont val="汉仪青云简"/>
        <charset val="134"/>
      </rPr>
      <t>279.5m</t>
    </r>
    <r>
      <rPr>
        <sz val="10"/>
        <color rgb="FFFF0000"/>
        <rFont val="宋体"/>
        <charset val="134"/>
      </rPr>
      <t>，实测值（</t>
    </r>
    <r>
      <rPr>
        <sz val="10"/>
        <color rgb="FFFF0000"/>
        <rFont val="汉仪青云简"/>
        <charset val="134"/>
      </rPr>
      <t>m</t>
    </r>
    <r>
      <rPr>
        <sz val="10"/>
        <color rgb="FFFF0000"/>
        <rFont val="宋体"/>
        <charset val="134"/>
      </rPr>
      <t>）：@float.3&lt;279.495,279.5&gt;，@float.3&lt;279.495,279.5&gt;，@float.3&lt;279.495,279.5&gt;，@float.3&lt;279.495,279.5&gt;，@float.3&lt;279.495,279.5&gt;，@float.3&lt;279.495,279.5&gt;，@float.3&lt;279.495,279.5&gt;，@float.3&lt;279.495,279.5&gt;，@float.3&lt;279.495,279.5&gt;，@float.3&lt;279.495,279.5&gt;</t>
    </r>
  </si>
  <si>
    <t>屋面</t>
  </si>
  <si>
    <t>下弦中心线和轴线位移</t>
  </si>
  <si>
    <t>垂直</t>
  </si>
  <si>
    <t>桁架、拱形屋架</t>
  </si>
  <si>
    <t>允许偏差1/250屋架高</t>
  </si>
  <si>
    <t>度</t>
  </si>
  <si>
    <t>薄膜梁</t>
  </si>
  <si>
    <t>允许偏差5mm</t>
  </si>
  <si>
    <t>板</t>
  </si>
  <si>
    <t>相邻两板下表面平整</t>
  </si>
  <si>
    <t>抹灰</t>
  </si>
  <si>
    <t>不抹灰</t>
  </si>
  <si>
    <t>允许偏差3mm</t>
  </si>
  <si>
    <t>预制廊道、井筒板（埋入建筑物）</t>
  </si>
  <si>
    <t>允许偏差±20mm</t>
  </si>
  <si>
    <t>@int&lt;1,4&gt;，@int&lt;1,4&gt;，@int&lt;1,4&gt;，@int&lt;1,4&gt;，@int&lt;1,4&gt;，@int&lt;1,4&gt;，@int&lt;1,4&gt;</t>
  </si>
  <si>
    <t>相邻两构件的表面平整</t>
  </si>
  <si>
    <r>
      <rPr>
        <sz val="9"/>
        <color rgb="FFFF0000"/>
        <rFont val="宋体"/>
        <charset val="134"/>
      </rPr>
      <t>设计值</t>
    </r>
    <r>
      <rPr>
        <sz val="9"/>
        <color rgb="FFFF0000"/>
        <rFont val="汉仪青云简"/>
        <charset val="134"/>
      </rPr>
      <t>2.5m</t>
    </r>
    <r>
      <rPr>
        <sz val="9"/>
        <color rgb="FFFF0000"/>
        <rFont val="宋体"/>
        <charset val="134"/>
      </rPr>
      <t xml:space="preserve">，实测值：@float.3&lt;2.49,2.51&gt;，@float.3&lt;2.49,2.51&gt;，@float.3&lt;2.49,2.51&gt;，@float.3&lt;2.49,2.51&gt;，@float.3&lt;2.49,2.51&gt;，@float.3&lt;2.49,2.51&gt;，@float.3&lt;2.49,2.51&gt;，@float.3&lt;2.49,2.51&gt;，@float.3&lt;2.49,2.51&gt;，@float.3&lt;2.49,2.51&gt;
</t>
    </r>
  </si>
  <si>
    <t>建筑物外表面模板</t>
  </si>
  <si>
    <t>相邻两板面高差</t>
  </si>
  <si>
    <t>允许偏差3mm（局部5mm）</t>
  </si>
  <si>
    <t>外边线与结构物边线</t>
  </si>
  <si>
    <t>允许偏差±10mm</t>
  </si>
  <si>
    <t>表2.8.3      预制件接缝及接头处理工序施工质量验收评定表</t>
  </si>
  <si>
    <t>构件连接</t>
  </si>
  <si>
    <t>构件与底座、构件与构件的连接应符合设计要求，受力接头应符合GB 50204的规定</t>
  </si>
  <si>
    <t>构件底部和底座平整，构件与底座、构件间预留钢筋现浇C30混凝土连接，检查结果完全符合质量要求。</t>
  </si>
  <si>
    <t>接缝凿毛处理</t>
  </si>
  <si>
    <t>接缝凿成毛面，清除浮渣，冲洗干净，检查结果基本符合质量要求。</t>
  </si>
  <si>
    <t>构件接缝的混凝土（砂浆）</t>
  </si>
  <si>
    <t>养护符合设计要求，且在规定的时间内不应拆除其支承模板</t>
  </si>
  <si>
    <t>设计养护龄期为28天标准养护，14天才可拆模，混凝土初凝后开始洒水养护，保持表面湿润，验收评定后继续养护到28天，第15天进行拆模工作，检查结果基本符合质量要求。</t>
  </si>
  <si>
    <r>
      <rPr>
        <sz val="10"/>
        <rFont val="宋体"/>
        <charset val="134"/>
      </rPr>
      <t xml:space="preserve">    主控项目检验点全部合格，一般项目逐项检验点的合格率均不小于</t>
    </r>
    <r>
      <rPr>
        <u/>
        <sz val="10"/>
        <rFont val="宋体"/>
        <charset val="134"/>
      </rPr>
      <t>__</t>
    </r>
    <r>
      <rPr>
        <u/>
        <sz val="10"/>
        <color indexed="10"/>
        <rFont val="宋体"/>
        <charset val="134"/>
      </rPr>
      <t>70</t>
    </r>
    <r>
      <rPr>
        <u/>
        <sz val="10"/>
        <rFont val="宋体"/>
        <charset val="134"/>
      </rPr>
      <t>___</t>
    </r>
    <r>
      <rPr>
        <sz val="10"/>
        <rFont val="宋体"/>
        <charset val="134"/>
      </rPr>
      <t>%，且不合格点不集中分布，各项报验资料</t>
    </r>
    <r>
      <rPr>
        <u/>
        <sz val="10"/>
        <rFont val="宋体"/>
        <charset val="134"/>
      </rPr>
      <t>___</t>
    </r>
    <r>
      <rPr>
        <u/>
        <sz val="10"/>
        <color indexed="10"/>
        <rFont val="宋体"/>
        <charset val="134"/>
      </rPr>
      <t>符合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SL 632—2012的要求。</t>
    </r>
  </si>
  <si>
    <t>表2.1             普通混凝土单元工程施工质量验收评定表</t>
  </si>
  <si>
    <t>1020</t>
  </si>
  <si>
    <r>
      <rPr>
        <sz val="9"/>
        <color rgb="FFFF0000"/>
        <rFont val="宋体"/>
        <charset val="134"/>
      </rPr>
      <t></t>
    </r>
    <r>
      <rPr>
        <sz val="9"/>
        <color rgb="FFFF0000"/>
        <rFont val="方正硬笔行书简体"/>
        <charset val="134"/>
      </rPr>
      <t>闸室段</t>
    </r>
  </si>
  <si>
    <t>2#闸墩，▽152.500～154.500m</t>
  </si>
  <si>
    <t xml:space="preserve">   年   月   日～    年   月   日</t>
  </si>
  <si>
    <t>基础面</t>
  </si>
  <si>
    <t>施工缝处理工序</t>
  </si>
  <si>
    <t>模板制作及安装工序</t>
  </si>
  <si>
    <t>△钢筋制作及安装工序</t>
  </si>
  <si>
    <t>预埋件（止水、伸缩缝等）制作及安装</t>
  </si>
  <si>
    <t>△混凝土浇筑工序</t>
  </si>
  <si>
    <t>混凝土外观质量检查工序</t>
  </si>
  <si>
    <r>
      <rPr>
        <sz val="10"/>
        <rFont val="宋体"/>
        <charset val="134"/>
      </rPr>
      <t xml:space="preserve">    各工序施工质量全部合格，其中优良工序占</t>
    </r>
    <r>
      <rPr>
        <u/>
        <sz val="10"/>
        <rFont val="宋体"/>
        <charset val="134"/>
      </rPr>
      <t>__</t>
    </r>
    <r>
      <rPr>
        <u/>
        <sz val="10"/>
        <color indexed="10"/>
        <rFont val="宋体"/>
        <charset val="134"/>
      </rPr>
      <t>0</t>
    </r>
    <r>
      <rPr>
        <u/>
        <sz val="10"/>
        <rFont val="宋体"/>
        <charset val="134"/>
      </rPr>
      <t>__</t>
    </r>
    <r>
      <rPr>
        <sz val="10"/>
        <rFont val="宋体"/>
        <charset val="134"/>
      </rPr>
      <t>%，且主要工序达到</t>
    </r>
    <r>
      <rPr>
        <u/>
        <sz val="10"/>
        <rFont val="宋体"/>
        <charset val="134"/>
      </rPr>
      <t>____</t>
    </r>
    <r>
      <rPr>
        <u/>
        <sz val="10"/>
        <color indexed="10"/>
        <rFont val="宋体"/>
        <charset val="134"/>
      </rPr>
      <t>合格</t>
    </r>
    <r>
      <rPr>
        <u/>
        <sz val="10"/>
        <rFont val="宋体"/>
        <charset val="134"/>
      </rPr>
      <t>____</t>
    </r>
    <r>
      <rPr>
        <sz val="10"/>
        <rFont val="宋体"/>
        <charset val="134"/>
      </rPr>
      <t>等级，单元工程试块质量</t>
    </r>
  </si>
  <si>
    <r>
      <rPr>
        <sz val="10"/>
        <rFont val="宋体"/>
        <charset val="134"/>
      </rPr>
      <t>检验合格，各项报验资料</t>
    </r>
    <r>
      <rPr>
        <u/>
        <sz val="10"/>
        <rFont val="宋体"/>
        <charset val="134"/>
      </rPr>
      <t>____</t>
    </r>
    <r>
      <rPr>
        <u/>
        <sz val="10"/>
        <color indexed="10"/>
        <rFont val="宋体"/>
        <charset val="134"/>
      </rPr>
      <t>符合</t>
    </r>
    <r>
      <rPr>
        <u/>
        <sz val="10"/>
        <rFont val="宋体"/>
        <charset val="134"/>
      </rPr>
      <t>____</t>
    </r>
    <r>
      <rPr>
        <sz val="10"/>
        <rFont val="宋体"/>
        <charset val="134"/>
      </rPr>
      <t>SL 632—2012 的要求。</t>
    </r>
  </si>
  <si>
    <t xml:space="preserve">   年   月   日</t>
  </si>
  <si>
    <r>
      <rPr>
        <sz val="10"/>
        <rFont val="宋体"/>
        <charset val="134"/>
      </rPr>
      <t xml:space="preserve">    经抽查并查验相关检验报告和检验资料，各工序施工质量全部合格，其中优良工序占</t>
    </r>
    <r>
      <rPr>
        <u/>
        <sz val="10"/>
        <rFont val="宋体"/>
        <charset val="134"/>
      </rPr>
      <t>____</t>
    </r>
    <r>
      <rPr>
        <sz val="10"/>
        <rFont val="宋体"/>
        <charset val="134"/>
      </rPr>
      <t>%，且</t>
    </r>
  </si>
  <si>
    <r>
      <rPr>
        <sz val="10"/>
        <rFont val="宋体"/>
        <charset val="134"/>
      </rPr>
      <t>主要工序达到</t>
    </r>
    <r>
      <rPr>
        <u/>
        <sz val="10"/>
        <rFont val="宋体"/>
        <charset val="134"/>
      </rPr>
      <t>_______</t>
    </r>
    <r>
      <rPr>
        <sz val="10"/>
        <rFont val="宋体"/>
        <charset val="134"/>
      </rPr>
      <t>等级，单元工程试块质量检验合格，各项报验资料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SL 632—2012的要求。</t>
    </r>
  </si>
  <si>
    <r>
      <rPr>
        <b/>
        <sz val="14"/>
        <color rgb="FF000000"/>
        <rFont val="宋体"/>
        <charset val="134"/>
      </rPr>
      <t>表</t>
    </r>
    <r>
      <rPr>
        <sz val="14"/>
        <color indexed="8"/>
        <rFont val="宋体"/>
        <charset val="134"/>
      </rPr>
      <t>2.1.1-1</t>
    </r>
    <r>
      <rPr>
        <b/>
        <sz val="14"/>
        <color rgb="FF000000"/>
        <rFont val="宋体"/>
        <charset val="134"/>
      </rPr>
      <t xml:space="preserve">         基础面处理工序施工质量验收评定表</t>
    </r>
  </si>
  <si>
    <t>山基石</t>
  </si>
  <si>
    <t>没有松动岩块、浮渣，检查结果完全符合质量要求。</t>
  </si>
  <si>
    <t>软基</t>
  </si>
  <si>
    <t>预留保护层已挖除；基础面符合设计要求</t>
  </si>
  <si>
    <t>地表水和地下水</t>
  </si>
  <si>
    <t>妥善引排或封堵</t>
  </si>
  <si>
    <t>已进行妥善引排，检查结果完全符合质量要求。</t>
  </si>
  <si>
    <t>岩面清理</t>
  </si>
  <si>
    <t>符合设计要求；清洗洁净、无积水、无积渣杂物</t>
  </si>
  <si>
    <t>清洗洁净，无积渣、无杂物，无积水，检查结果基本符合质量要求。</t>
  </si>
  <si>
    <r>
      <rPr>
        <sz val="10"/>
        <rFont val="宋体"/>
        <charset val="134"/>
      </rPr>
      <t xml:space="preserve">    主控项目检验点全部合格，一般项目逐项检验点的合格率均不小于</t>
    </r>
    <r>
      <rPr>
        <u/>
        <sz val="10"/>
        <rFont val="宋体"/>
        <charset val="134"/>
      </rPr>
      <t>__</t>
    </r>
    <r>
      <rPr>
        <u/>
        <sz val="10"/>
        <color indexed="10"/>
        <rFont val="宋体"/>
        <charset val="134"/>
      </rPr>
      <t>70</t>
    </r>
    <r>
      <rPr>
        <u/>
        <sz val="10"/>
        <rFont val="宋体"/>
        <charset val="134"/>
      </rPr>
      <t>___</t>
    </r>
    <r>
      <rPr>
        <sz val="10"/>
        <rFont val="宋体"/>
        <charset val="134"/>
      </rPr>
      <t>%，且不合格点不集中分布，</t>
    </r>
  </si>
  <si>
    <r>
      <rPr>
        <sz val="10"/>
        <rFont val="宋体"/>
        <charset val="134"/>
      </rPr>
      <t>各项报验资料</t>
    </r>
    <r>
      <rPr>
        <u/>
        <sz val="10"/>
        <rFont val="宋体"/>
        <charset val="134"/>
      </rPr>
      <t>__</t>
    </r>
    <r>
      <rPr>
        <u/>
        <sz val="10"/>
        <color indexed="10"/>
        <rFont val="宋体"/>
        <charset val="134"/>
      </rPr>
      <t>符合</t>
    </r>
    <r>
      <rPr>
        <u/>
        <sz val="10"/>
        <rFont val="宋体"/>
        <charset val="134"/>
      </rPr>
      <t>___</t>
    </r>
    <r>
      <rPr>
        <sz val="10"/>
        <rFont val="宋体"/>
        <charset val="134"/>
      </rPr>
      <t>SL 632—2012的要求。</t>
    </r>
  </si>
  <si>
    <r>
      <rPr>
        <sz val="10"/>
        <rFont val="宋体"/>
        <charset val="134"/>
      </rPr>
      <t xml:space="preserve">    经复核，主控项目检验点全部合格，一般项目逐项检验点的合格率均不小于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%，且不合格点</t>
    </r>
  </si>
  <si>
    <r>
      <rPr>
        <sz val="10"/>
        <rFont val="宋体"/>
        <charset val="134"/>
      </rPr>
      <t>不集中分布，各项报验资料</t>
    </r>
    <r>
      <rPr>
        <u/>
        <sz val="10"/>
        <rFont val="宋体"/>
        <charset val="134"/>
      </rPr>
      <t>_____</t>
    </r>
    <r>
      <rPr>
        <sz val="10"/>
        <rFont val="宋体"/>
        <charset val="134"/>
      </rPr>
      <t>SL 632—2012的要求。</t>
    </r>
  </si>
  <si>
    <r>
      <rPr>
        <b/>
        <u/>
        <sz val="14"/>
        <color rgb="FFFF0000"/>
        <rFont val="宋体"/>
        <charset val="134"/>
        <scheme val="minor"/>
      </rPr>
      <t>布拖2024年高标准农田建设项目（增发国债）</t>
    </r>
    <r>
      <rPr>
        <b/>
        <sz val="14"/>
        <color indexed="8"/>
        <rFont val="宋体"/>
        <charset val="134"/>
      </rPr>
      <t>工程</t>
    </r>
  </si>
  <si>
    <r>
      <rPr>
        <b/>
        <sz val="12"/>
        <color rgb="FF000000"/>
        <rFont val="Arial"/>
        <charset val="0"/>
      </rPr>
      <t xml:space="preserve">    </t>
    </r>
    <r>
      <rPr>
        <b/>
        <sz val="12"/>
        <color indexed="8"/>
        <rFont val="宋体"/>
        <charset val="134"/>
      </rPr>
      <t>表2.1.1-2</t>
    </r>
    <r>
      <rPr>
        <b/>
        <sz val="12"/>
        <color rgb="FF000000"/>
        <rFont val="Arial"/>
        <charset val="0"/>
      </rPr>
      <t xml:space="preserve">         </t>
    </r>
    <r>
      <rPr>
        <b/>
        <sz val="14"/>
        <color rgb="FF000000"/>
        <rFont val="宋体"/>
        <charset val="134"/>
      </rPr>
      <t>普通混凝土施工缝处理工序施工质量验收评定表</t>
    </r>
    <r>
      <rPr>
        <b/>
        <sz val="10"/>
        <color indexed="10"/>
        <rFont val="宋体"/>
        <charset val="134"/>
      </rPr>
      <t>（未找到对应设计值）</t>
    </r>
  </si>
  <si>
    <t>年    月    日--        年    月    日</t>
  </si>
  <si>
    <t>施工缝的留置位置</t>
  </si>
  <si>
    <t>符合设计或有关施工规范规定</t>
  </si>
  <si>
    <r>
      <rPr>
        <sz val="9"/>
        <color rgb="FF000000"/>
        <rFont val="宋体"/>
        <charset val="134"/>
      </rPr>
      <t>施工缝留设</t>
    </r>
    <r>
      <rPr>
        <sz val="9"/>
        <color rgb="FFFF0000"/>
        <rFont val="宋体"/>
        <charset val="134"/>
      </rPr>
      <t>在</t>
    </r>
    <r>
      <rPr>
        <sz val="9"/>
        <color rgb="FFFF0000"/>
        <rFont val="汉仪青云简"/>
        <charset val="134"/>
      </rPr>
      <t>0+120</t>
    </r>
    <r>
      <rPr>
        <sz val="9"/>
        <color rgb="FF000000"/>
        <rFont val="宋体"/>
        <charset val="134"/>
      </rPr>
      <t>位置，检查结果完全符合质量要求。</t>
    </r>
  </si>
  <si>
    <t>施工缝面凿毛</t>
  </si>
  <si>
    <t>基面无乳皮，成毛面，微露粗砂</t>
  </si>
  <si>
    <t>已按要求凿成毛面，无乳皮，微漏粗砂，检查结果完全符合质量要求。</t>
  </si>
  <si>
    <t>缝面清理</t>
  </si>
  <si>
    <t>清洁洁净，无积水，无积渣、杂物，检查结果基本符合质量要求。</t>
  </si>
  <si>
    <r>
      <rPr>
        <sz val="9"/>
        <color rgb="FF000000"/>
        <rFont val="Arial"/>
        <charset val="0"/>
      </rPr>
      <t xml:space="preserve">        </t>
    </r>
    <r>
      <rPr>
        <sz val="9"/>
        <color rgb="FF000000"/>
        <rFont val="宋体"/>
        <charset val="134"/>
      </rPr>
      <t>主控项目检验点全部合格，一般项目逐项检验点的合格率均不小于__</t>
    </r>
    <r>
      <rPr>
        <u/>
        <sz val="9"/>
        <color rgb="FFFF0000"/>
        <rFont val="宋体"/>
        <charset val="134"/>
      </rPr>
      <t>70</t>
    </r>
    <r>
      <rPr>
        <sz val="9"/>
        <color rgb="FF000000"/>
        <rFont val="宋体"/>
        <charset val="134"/>
      </rPr>
      <t>___</t>
    </r>
    <r>
      <rPr>
        <sz val="9"/>
        <color rgb="FF000000"/>
        <rFont val="Arial"/>
        <charset val="0"/>
      </rPr>
      <t>%</t>
    </r>
    <r>
      <rPr>
        <sz val="9"/>
        <color rgb="FF000000"/>
        <rFont val="宋体"/>
        <charset val="134"/>
      </rPr>
      <t>，且不合格点不集中分布，</t>
    </r>
  </si>
  <si>
    <r>
      <rPr>
        <sz val="9"/>
        <color rgb="FF000000"/>
        <rFont val="宋体"/>
        <charset val="134"/>
      </rPr>
      <t>各项报验资料</t>
    </r>
    <r>
      <rPr>
        <sz val="9"/>
        <color rgb="FF000000"/>
        <rFont val="Arial"/>
        <charset val="0"/>
      </rPr>
      <t>__</t>
    </r>
    <r>
      <rPr>
        <u/>
        <sz val="9"/>
        <color rgb="FFFF0000"/>
        <rFont val="宋体"/>
        <charset val="134"/>
      </rPr>
      <t>符合</t>
    </r>
    <r>
      <rPr>
        <sz val="9"/>
        <color rgb="FF000000"/>
        <rFont val="Arial"/>
        <charset val="0"/>
      </rPr>
      <t>___SL 632—2012</t>
    </r>
    <r>
      <rPr>
        <sz val="9"/>
        <color rgb="FF000000"/>
        <rFont val="宋体"/>
        <charset val="134"/>
      </rPr>
      <t>的要求。</t>
    </r>
  </si>
  <si>
    <r>
      <rPr>
        <sz val="9"/>
        <color rgb="FF000000"/>
        <rFont val="宋体"/>
        <charset val="134"/>
      </rPr>
      <t>工序质量等级评定为：_____</t>
    </r>
    <r>
      <rPr>
        <u/>
        <sz val="9"/>
        <color rgb="FFFF0000"/>
        <rFont val="宋体"/>
        <charset val="134"/>
      </rPr>
      <t>合格</t>
    </r>
    <r>
      <rPr>
        <sz val="9"/>
        <color rgb="FF000000"/>
        <rFont val="宋体"/>
        <charset val="134"/>
      </rPr>
      <t>_____。</t>
    </r>
  </si>
  <si>
    <r>
      <rPr>
        <sz val="9"/>
        <color rgb="FF000000"/>
        <rFont val="宋体"/>
        <charset val="134"/>
      </rPr>
      <t>（签字，加盖公章）</t>
    </r>
    <r>
      <rPr>
        <sz val="9"/>
        <color rgb="FF000000"/>
        <rFont val="Arial"/>
        <charset val="0"/>
      </rPr>
      <t xml:space="preserve">         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Arial"/>
        <charset val="0"/>
      </rPr>
      <t xml:space="preserve">      </t>
    </r>
    <r>
      <rPr>
        <sz val="9"/>
        <color rgb="FF000000"/>
        <rFont val="宋体"/>
        <charset val="134"/>
      </rPr>
      <t>月</t>
    </r>
    <r>
      <rPr>
        <sz val="9"/>
        <color rgb="FF000000"/>
        <rFont val="Arial"/>
        <charset val="0"/>
      </rPr>
      <t xml:space="preserve">     </t>
    </r>
    <r>
      <rPr>
        <sz val="9"/>
        <color rgb="FF000000"/>
        <rFont val="宋体"/>
        <charset val="134"/>
      </rPr>
      <t>日</t>
    </r>
  </si>
  <si>
    <r>
      <rPr>
        <sz val="9"/>
        <color rgb="FF000000"/>
        <rFont val="Arial"/>
        <charset val="0"/>
      </rPr>
      <t xml:space="preserve">        </t>
    </r>
    <r>
      <rPr>
        <sz val="9"/>
        <color rgb="FF000000"/>
        <rFont val="宋体"/>
        <charset val="134"/>
      </rPr>
      <t>经复核，主控项目检验点全部合格，一般项目逐项检验点的合格率均不小于_____</t>
    </r>
    <r>
      <rPr>
        <sz val="9"/>
        <color rgb="FF000000"/>
        <rFont val="Arial"/>
        <charset val="0"/>
      </rPr>
      <t>%</t>
    </r>
    <r>
      <rPr>
        <sz val="9"/>
        <color rgb="FF000000"/>
        <rFont val="宋体"/>
        <charset val="134"/>
      </rPr>
      <t>，且不合格点</t>
    </r>
  </si>
  <si>
    <r>
      <rPr>
        <sz val="9"/>
        <color rgb="FF000000"/>
        <rFont val="宋体"/>
        <charset val="134"/>
      </rPr>
      <t>不集中分布，各项报验资料</t>
    </r>
    <r>
      <rPr>
        <sz val="9"/>
        <color rgb="FF000000"/>
        <rFont val="Arial"/>
        <charset val="0"/>
      </rPr>
      <t>_____SL 632—2012</t>
    </r>
    <r>
      <rPr>
        <sz val="9"/>
        <color rgb="FF000000"/>
        <rFont val="宋体"/>
        <charset val="134"/>
      </rPr>
      <t>的要求。</t>
    </r>
  </si>
  <si>
    <t>工序质量等级评定为：__________。</t>
  </si>
  <si>
    <r>
      <rPr>
        <sz val="9"/>
        <color rgb="FF000000"/>
        <rFont val="宋体"/>
        <charset val="134"/>
      </rPr>
      <t>（签字，加盖公章）</t>
    </r>
    <r>
      <rPr>
        <sz val="9"/>
        <color rgb="FF000000"/>
        <rFont val="Arial"/>
        <charset val="0"/>
      </rPr>
      <t xml:space="preserve">         </t>
    </r>
    <r>
      <rPr>
        <sz val="9"/>
        <color rgb="FF000000"/>
        <rFont val="宋体"/>
        <charset val="134"/>
      </rPr>
      <t>年</t>
    </r>
    <r>
      <rPr>
        <sz val="9"/>
        <color rgb="FF000000"/>
        <rFont val="Arial"/>
        <charset val="0"/>
      </rPr>
      <t xml:space="preserve">      </t>
    </r>
    <r>
      <rPr>
        <sz val="9"/>
        <color rgb="FF000000"/>
        <rFont val="宋体"/>
        <charset val="134"/>
      </rPr>
      <t>月</t>
    </r>
    <r>
      <rPr>
        <sz val="9"/>
        <color rgb="FF000000"/>
        <rFont val="Arial"/>
        <charset val="0"/>
      </rPr>
      <t xml:space="preserve">      </t>
    </r>
    <r>
      <rPr>
        <sz val="9"/>
        <color rgb="FF000000"/>
        <rFont val="宋体"/>
        <charset val="134"/>
      </rPr>
      <t>日</t>
    </r>
  </si>
  <si>
    <r>
      <rPr>
        <b/>
        <sz val="14"/>
        <color rgb="FF000000"/>
        <rFont val="宋体"/>
        <charset val="134"/>
      </rPr>
      <t>表2.1.2          模板制作及安装工序施工质量验收评定表</t>
    </r>
    <r>
      <rPr>
        <b/>
        <sz val="14"/>
        <color rgb="FFFF0000"/>
        <rFont val="宋体"/>
        <charset val="134"/>
      </rPr>
      <t>（未找到对应设计值）</t>
    </r>
  </si>
  <si>
    <t>稳定性、刚度和强度</t>
  </si>
  <si>
    <t>满足混凝土施工荷载要求，并符合模板设计要求</t>
  </si>
  <si>
    <t>钢支撑加拉筋固定，稳定性、刚度和强度检查结果完全符合质量要求。</t>
  </si>
  <si>
    <t>承重模板底面高程</t>
  </si>
  <si>
    <t>允许偏差0～+5mm</t>
  </si>
  <si>
    <t>排架、梁板、柱、墙</t>
  </si>
  <si>
    <t>结构断面尺寸</t>
  </si>
  <si>
    <t xml:space="preserve">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，@int&lt;-10,10&gt;
</t>
  </si>
  <si>
    <t>轴线位置</t>
  </si>
  <si>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>@int&lt;-10,10&gt;</t>
    </r>
    <r>
      <rPr>
        <sz val="10"/>
        <color rgb="FFFF0000"/>
        <rFont val="宋体"/>
        <charset val="0"/>
      </rPr>
      <t>，</t>
    </r>
    <r>
      <rPr>
        <sz val="10"/>
        <color rgb="FFFF0000"/>
        <rFont val="Times New Roman"/>
        <charset val="0"/>
      </rPr>
      <t xml:space="preserve">@int&lt;-10,10&gt;
</t>
    </r>
  </si>
  <si>
    <t>结构物边线与设计边线</t>
  </si>
  <si>
    <t>外露表面</t>
  </si>
  <si>
    <t>内模板允许偏差0～+10m，外模板允许偏差-10mm～0</t>
  </si>
  <si>
    <r>
      <rPr>
        <sz val="10"/>
        <color rgb="FFFF0000"/>
        <rFont val="宋体"/>
        <charset val="134"/>
      </rPr>
      <t>设计值：</t>
    </r>
    <r>
      <rPr>
        <sz val="10"/>
        <color rgb="FFFF0000"/>
        <rFont val="汉仪青云简"/>
        <charset val="134"/>
      </rPr>
      <t>8.5×15m</t>
    </r>
    <r>
      <rPr>
        <sz val="10"/>
        <color rgb="FFFF0000"/>
        <rFont val="宋体"/>
        <charset val="134"/>
      </rPr>
      <t xml:space="preserve">，内模板：@float.3&lt;8.495,8.5&gt;，@float.3&lt;8.495,8.5&gt;，@float.3&lt;8.495,8.5&gt;，@float.3&lt;8.495,8.5&gt;，@float.3&lt;8.495,8.5&gt;，@float.3&lt;8.495,8.5&gt;，@float.3&lt;8.495,8.5&gt;，@float.3&lt;8.495,8.5&gt;，@float.3&lt;8.495,8.5&gt;，@float.3&lt;8.495,8.5&gt;；外模板：@float.3&lt;15,15.01&gt;，@float.3&lt;15,15.01&gt;，@float.3&lt;15,15.01&gt;，@float.3&lt;15,15.01&gt;，@float.3&lt;15,15.01&gt;，@float.3&lt;15,15.01&gt;，@float.3&lt;15,15.01&gt;，@float.3&lt;15,15.01&gt;，@float.3&lt;15,15.01&gt;，@float.3&lt;15,15.01&gt;
</t>
    </r>
  </si>
  <si>
    <t>隐蔽内面</t>
  </si>
  <si>
    <t>允许偏差15mm</t>
  </si>
  <si>
    <t>预留孔、洞尺寸及位置</t>
  </si>
  <si>
    <t>孔、洞尺寸</t>
  </si>
  <si>
    <t>允许偏差0 - +10mm</t>
  </si>
  <si>
    <r>
      <rPr>
        <sz val="10"/>
        <color rgb="FFFF0000"/>
        <rFont val="宋体"/>
        <charset val="134"/>
      </rPr>
      <t>设计值：</t>
    </r>
    <r>
      <rPr>
        <sz val="10"/>
        <color rgb="FFFF0000"/>
        <rFont val="汉仪青云简"/>
        <charset val="134"/>
      </rPr>
      <t>1.0m×1.2m</t>
    </r>
    <r>
      <rPr>
        <sz val="10"/>
        <color rgb="FFFF0000"/>
        <rFont val="宋体"/>
        <charset val="134"/>
      </rPr>
      <t>，实测值：</t>
    </r>
    <r>
      <rPr>
        <sz val="10"/>
        <color rgb="FFFF0000"/>
        <rFont val="汉仪青云简"/>
        <charset val="134"/>
      </rPr>
      <t xml:space="preserve">
@float.3&lt;1.0,1.01&gt;×@float.3&lt;1.2,1.21&gt;，</t>
    </r>
    <r>
      <rPr>
        <sz val="10"/>
        <color rgb="FFFF0000"/>
        <rFont val="宋体"/>
        <charset val="134"/>
      </rPr>
      <t xml:space="preserve">
</t>
    </r>
    <r>
      <rPr>
        <sz val="10"/>
        <color rgb="FFFF0000"/>
        <rFont val="汉仪青云简"/>
        <charset val="134"/>
      </rPr>
      <t xml:space="preserve">@float.3&lt;1.0,1.01&gt;×@float.3&lt;1.2,1.21&gt;，@float.3&lt;1.0,1.01&gt;×@float.3&lt;1.2,1.21&gt;，@float.3&lt;1.0,1.01&gt;×@float.3&lt;1.2,1.21&gt;
</t>
    </r>
  </si>
  <si>
    <t>孔洞位置</t>
  </si>
  <si>
    <r>
      <rPr>
        <sz val="10"/>
        <color rgb="FFFF0000"/>
        <rFont val="宋体"/>
        <charset val="134"/>
      </rPr>
      <t>设计（</t>
    </r>
    <r>
      <rPr>
        <sz val="10"/>
        <color rgb="FFFF0000"/>
        <rFont val="汉仪青云简"/>
        <charset val="134"/>
      </rPr>
      <t>m</t>
    </r>
    <r>
      <rPr>
        <sz val="10"/>
        <color rgb="FFFF0000"/>
        <rFont val="宋体"/>
        <charset val="134"/>
      </rPr>
      <t>）坝纵：</t>
    </r>
    <r>
      <rPr>
        <sz val="10"/>
        <color rgb="FFFF0000"/>
        <rFont val="汉仪青云简"/>
        <charset val="134"/>
      </rPr>
      <t>0+61.7</t>
    </r>
    <r>
      <rPr>
        <sz val="10"/>
        <color rgb="FFFF0000"/>
        <rFont val="宋体"/>
        <charset val="134"/>
      </rPr>
      <t>，坝横：</t>
    </r>
    <r>
      <rPr>
        <sz val="10"/>
        <color rgb="FFFF0000"/>
        <rFont val="汉仪青云简"/>
        <charset val="134"/>
      </rPr>
      <t>0+11.3</t>
    </r>
    <r>
      <rPr>
        <sz val="10"/>
        <color rgb="FFFF0000"/>
        <rFont val="宋体"/>
        <charset val="134"/>
      </rPr>
      <t>；实测（</t>
    </r>
    <r>
      <rPr>
        <sz val="10"/>
        <color rgb="FFFF0000"/>
        <rFont val="汉仪青云简"/>
        <charset val="134"/>
      </rPr>
      <t>m</t>
    </r>
    <r>
      <rPr>
        <sz val="10"/>
        <color rgb="FFFF0000"/>
        <rFont val="宋体"/>
        <charset val="134"/>
      </rPr>
      <t>）坝纵：</t>
    </r>
    <r>
      <rPr>
        <sz val="10"/>
        <color rgb="FFFF0000"/>
        <rFont val="汉仪青云简"/>
        <charset val="134"/>
      </rPr>
      <t>0+@float.3&lt;61.7,61.71&gt;</t>
    </r>
    <r>
      <rPr>
        <sz val="10"/>
        <color rgb="FFFF0000"/>
        <rFont val="宋体"/>
        <charset val="134"/>
      </rPr>
      <t>，坝横：</t>
    </r>
    <r>
      <rPr>
        <sz val="10"/>
        <color rgb="FFFF0000"/>
        <rFont val="汉仪青云简"/>
        <charset val="134"/>
      </rPr>
      <t>0+@float.3&lt;11.3,11.31&gt;</t>
    </r>
  </si>
  <si>
    <t>模板平整度、相邻两板面错台</t>
  </si>
  <si>
    <t>钢模：允许偏差2mm               木模：允许偏差3mm</t>
  </si>
  <si>
    <t xml:space="preserve">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，@float.3&lt;0.2,1.7&gt;
</t>
  </si>
  <si>
    <t>局部平整度</t>
  </si>
  <si>
    <t>钢模：允许偏差3mm              木模：允许偏差5mm</t>
  </si>
  <si>
    <t xml:space="preserve">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，@float.3&lt;0.8,3.1&gt;
</t>
  </si>
  <si>
    <t>板面缝隙</t>
  </si>
  <si>
    <t>钢模：允许偏差1mm              木模：允许偏差2mm</t>
  </si>
  <si>
    <t xml:space="preserve">@float.3&lt;0.2,1.1&gt;，@float.3&lt;0.2,1.1&gt;，@float.3&lt;0.2,1.1&gt;，@float.3&lt;0.2,1.1&gt;，@float.3&lt;0.2,1.1&gt;，@float.3&lt;0.2,1.1&gt;，@float.3&lt;0.2,1.1&gt;，@float.3&lt;0.2,1.1&gt;，@float.3&lt;0.2,1.1&gt;，@float.3&lt;0.2,1.1&gt;
</t>
  </si>
  <si>
    <t>允许偏差2mm</t>
  </si>
  <si>
    <t>结构物水平断面内部尺寸</t>
  </si>
  <si>
    <r>
      <rPr>
        <sz val="10"/>
        <color rgb="FFFF0000"/>
        <rFont val="宋体"/>
        <charset val="134"/>
      </rPr>
      <t>设计值：</t>
    </r>
    <r>
      <rPr>
        <sz val="10"/>
        <color rgb="FFFF0000"/>
        <rFont val="汉仪青云简"/>
        <charset val="134"/>
      </rPr>
      <t>17×30m</t>
    </r>
    <r>
      <rPr>
        <sz val="10"/>
        <color rgb="FFFF0000"/>
        <rFont val="宋体"/>
        <charset val="134"/>
      </rPr>
      <t>，实测值：</t>
    </r>
    <r>
      <rPr>
        <sz val="10"/>
        <color rgb="FFFF0000"/>
        <rFont val="汉仪青云简"/>
        <charset val="134"/>
      </rPr>
      <t xml:space="preserve">
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，@float.3&lt;16.98,17.02&gt;×@float.3&lt;29.98,30.02&gt;
</t>
    </r>
  </si>
  <si>
    <t>脱模剂涂刷</t>
  </si>
  <si>
    <t>产品质量符合标准要求，涂刷均匀，无明显色差</t>
  </si>
  <si>
    <t>脱模剂符合质量标准，涂刷均匀，无漏涂，无明显色差，经检查结果基本符合质量要求。</t>
  </si>
  <si>
    <t>模板外观</t>
  </si>
  <si>
    <t>表面光洁、无污物</t>
  </si>
  <si>
    <t>表面光洁，个别点有污物已清除，经检查结果基本符合质量要求。</t>
  </si>
  <si>
    <r>
      <rPr>
        <sz val="9"/>
        <rFont val="宋体"/>
        <charset val="134"/>
      </rPr>
      <t xml:space="preserve">    主控项目检验点全部合格，一般项目逐项检验点的合格率均不小于___</t>
    </r>
    <r>
      <rPr>
        <u/>
        <sz val="9"/>
        <color rgb="FFFF0000"/>
        <rFont val="宋体"/>
        <charset val="134"/>
      </rPr>
      <t>70</t>
    </r>
    <r>
      <rPr>
        <sz val="9"/>
        <rFont val="宋体"/>
        <charset val="134"/>
      </rPr>
      <t>__%，且不合格点不集中分布，各项报验资料___</t>
    </r>
    <r>
      <rPr>
        <u/>
        <sz val="9"/>
        <color rgb="FFFF0000"/>
        <rFont val="宋体"/>
        <charset val="134"/>
      </rPr>
      <t>符合</t>
    </r>
    <r>
      <rPr>
        <sz val="9"/>
        <rFont val="宋体"/>
        <charset val="134"/>
      </rPr>
      <t>__SL 632—2012的要求。</t>
    </r>
  </si>
  <si>
    <t xml:space="preserve">    经复核，主控项目检验点全部合格，一般项目逐项检验点的合格率均不小于_____%，且不合格点不集中分布，各项报验资料_____SL 632—2012的要求。</t>
  </si>
  <si>
    <r>
      <rPr>
        <b/>
        <sz val="14"/>
        <rFont val="宋体"/>
        <charset val="134"/>
      </rPr>
      <t>表2.1.3         钢筋制作及安装工序施工质量验收评定表</t>
    </r>
    <r>
      <rPr>
        <b/>
        <sz val="14"/>
        <color rgb="FFFF0000"/>
        <rFont val="宋体"/>
        <charset val="134"/>
      </rPr>
      <t>（未找到对应设计值）</t>
    </r>
  </si>
  <si>
    <t>钢筋的数量、规格尺寸、安装位置</t>
  </si>
  <si>
    <t>符合质量标准和设计的要求</t>
  </si>
  <si>
    <t>钢筋的数量、规格尺寸、安装位置符合要求</t>
  </si>
  <si>
    <t>钢筋接头的力学性能</t>
  </si>
  <si>
    <t>符合规范要求和国家及行业有关规定</t>
  </si>
  <si>
    <t>采用直螺纹连接，抽2组检验，附检测试验报告。</t>
  </si>
  <si>
    <t>焊接接头和焊缝外观</t>
  </si>
  <si>
    <t>不允许有裂缝、脱焊点、漏焊点，表面平顺，没有明显的咬边、凹陷、气孔等，钢筋不应有明显烧伤</t>
  </si>
  <si>
    <t>4.钢筋连接</t>
  </si>
  <si>
    <t>点焊及电弧焊</t>
  </si>
  <si>
    <t>帮条对焊接头中心</t>
  </si>
  <si>
    <r>
      <rPr>
        <sz val="9"/>
        <rFont val="宋体"/>
        <charset val="134"/>
      </rPr>
      <t>纵向偏移差不大于</t>
    </r>
    <r>
      <rPr>
        <sz val="9"/>
        <color rgb="FFFF0000"/>
        <rFont val="宋体"/>
        <charset val="134"/>
      </rPr>
      <t>0.5d</t>
    </r>
  </si>
  <si>
    <t>接头处钢筋轴线的曲折</t>
  </si>
  <si>
    <t>≤4°</t>
  </si>
  <si>
    <t>焊缝</t>
  </si>
  <si>
    <t>长度</t>
  </si>
  <si>
    <t>允许偏差－0.5d</t>
  </si>
  <si>
    <t>高度</t>
  </si>
  <si>
    <t>允许偏差－0.05d</t>
  </si>
  <si>
    <t>表面气孔夹渣</t>
  </si>
  <si>
    <t>在2d长度上数量不多于2个；气孔、夹渣的直径不大于3mm</t>
  </si>
  <si>
    <t>对焊及溶槽焊</t>
  </si>
  <si>
    <t>焊接接头根部未焊透深度</t>
  </si>
  <si>
    <t>Φ25～Φ4Omm钢筋</t>
  </si>
  <si>
    <t>≤0.15d</t>
  </si>
  <si>
    <t>Φ40～</t>
  </si>
  <si>
    <t>≤0.10d</t>
  </si>
  <si>
    <t>Φ70mm钢筋</t>
  </si>
  <si>
    <t>接头处钢筋中心线的位移</t>
  </si>
  <si>
    <t>0.10d且不大于2mm</t>
  </si>
  <si>
    <t>焊缝表面（长为2d）和焊缝截面上蜂窝、气孔、非金属杂质</t>
  </si>
  <si>
    <t>≤1.5d</t>
  </si>
  <si>
    <t>绑扎连接</t>
  </si>
  <si>
    <t>缺扣、松扣</t>
  </si>
  <si>
    <t>≤20%，且不集中</t>
  </si>
  <si>
    <t>全面检查后，抽检10处，每处10扣，7处无缺扣松扣，3处各有1个松扣。</t>
  </si>
  <si>
    <t>弯钩朝向正确</t>
  </si>
  <si>
    <t>符合设计图纸</t>
  </si>
  <si>
    <t>弯钩朝向符合图纸要求。</t>
  </si>
  <si>
    <t>搭接长度</t>
  </si>
  <si>
    <t>允许偏差－0.05设计值</t>
  </si>
  <si>
    <t>660mm</t>
  </si>
  <si>
    <r>
      <t>实测值（</t>
    </r>
    <r>
      <rPr>
        <sz val="9"/>
        <color rgb="FFFF0000"/>
        <rFont val="汉仪青云简"/>
        <charset val="134"/>
      </rPr>
      <t>mm</t>
    </r>
    <r>
      <rPr>
        <sz val="9"/>
        <color rgb="FFFF0000"/>
        <rFont val="宋体"/>
        <charset val="134"/>
      </rPr>
      <t xml:space="preserve">）：@float.2&lt;659.95,660&gt;，@float.2&lt;659.95,660&gt;，@float.2&lt;659.95,660&gt;，@float.2&lt;659.95,660&gt;，@float.2&lt;659.95,660&gt;，@float.2&lt;659.95,660&gt;，@float.2&lt;659.95,660&gt;，@float.2&lt;659.95,660&gt;，@float.2&lt;659.95,660&gt;，@float.2&lt;659.95,660&gt;
</t>
    </r>
  </si>
  <si>
    <t>续表2.1.3</t>
  </si>
  <si>
    <t>检查（测）记录</t>
  </si>
  <si>
    <t>机械连接</t>
  </si>
  <si>
    <t>带肋钢筋冷挤压连接接头</t>
  </si>
  <si>
    <t>压痕处套筒外形尺寸</t>
  </si>
  <si>
    <t>挤压后套筒长度应为原套筒长度的1.10～1.15倍，或压痕处套筒的外径波动范围为原套筒外径的0.8～0.9倍</t>
  </si>
  <si>
    <t>挤压道次</t>
  </si>
  <si>
    <t>符合型式检验结果</t>
  </si>
  <si>
    <t>接头弯折</t>
  </si>
  <si>
    <t>裂缝检查</t>
  </si>
  <si>
    <t>挤压后肉眼观察无裂缝</t>
  </si>
  <si>
    <t>直锥由螺纹连接接头</t>
  </si>
  <si>
    <t>丝头外观质量</t>
  </si>
  <si>
    <t>保护良好，无锈蚀和油污，牙形饱满光滑</t>
  </si>
  <si>
    <t>丝头上保护剂，并套上保护套妥善保护，无锈蚀和油污，牙形完整光滑，检查结果完全符合质量要求。</t>
  </si>
  <si>
    <t>套头外观质量</t>
  </si>
  <si>
    <t>无裂纹或其他肉眼可见缺陷</t>
  </si>
  <si>
    <t>套筒无裂缝，完好无损无缺陷，检查结果完全符合质量要求。</t>
  </si>
  <si>
    <t>外露丝扣</t>
  </si>
  <si>
    <t>无1扣以上完整丝扣外露</t>
  </si>
  <si>
    <r>
      <rPr>
        <sz val="9"/>
        <rFont val="宋体"/>
        <charset val="134"/>
      </rPr>
      <t>经检查，无</t>
    </r>
    <r>
      <rPr>
        <sz val="9"/>
        <rFont val="汉仪青云简"/>
        <charset val="134"/>
      </rPr>
      <t>1</t>
    </r>
    <r>
      <rPr>
        <sz val="9"/>
        <rFont val="宋体"/>
        <charset val="134"/>
      </rPr>
      <t>扣以上完整丝扣外露现象，检查结果完全符合质量要求。</t>
    </r>
  </si>
  <si>
    <t>螺纹匹配</t>
  </si>
  <si>
    <t>丝头螺纹与套筒螺纹满足连接要求，螺纹结合紧密，无明显松动，以及相应处理方法得当</t>
  </si>
  <si>
    <t>丝头与套筒螺纹匹配，螺纹结合紧密，用力矩扳手扭紧，检查无松动，检查结果完全符合质量要求。</t>
  </si>
  <si>
    <t>5.钢筋间距、保护层</t>
  </si>
  <si>
    <t>符合规范和设计要求</t>
  </si>
  <si>
    <t>全面检查，无明显过大过小现象，检查结果完全符合质量要求。</t>
  </si>
  <si>
    <t>6.保护层厚度</t>
  </si>
  <si>
    <t>允许偏差±1/4净保护层厚</t>
  </si>
  <si>
    <t>设计值：50mm</t>
  </si>
  <si>
    <t xml:space="preserve">实测值：@int&lt;40,60&gt;，@int&lt;40,60&gt;，@int&lt;40,60&gt;，@int&lt;40,60&gt;，@int&lt;40,60&gt;，@int&lt;40,60&gt;，@int&lt;40,60&gt;，@int&lt;40,60&gt;，@int&lt;40,60&gt;，@int&lt;40,60&gt;
</t>
  </si>
  <si>
    <t>钢筋长度方向</t>
  </si>
  <si>
    <t>局部偏差±1/2净保护层厚</t>
  </si>
  <si>
    <t>设计值：29.9m，16.9m</t>
  </si>
  <si>
    <t xml:space="preserve">实测值：@float.3&lt;29.88,29.915&gt;，@float.3&lt;29.88,29.915&gt;，@float.3&lt;29.88,29.915&gt;，@float.3&lt;29.88,29.915&gt;，@float.3&lt;29.88,29.915&gt;
，@float.3&lt;16.875,16.901&gt;，@float.3&lt;16.875,16.901&gt;，@float.3&lt;16.875,16.901&gt;，@float.3&lt;16.875,16.901&gt;，@float.3&lt;16.875,16.901&gt;
</t>
  </si>
  <si>
    <t>同一排受力钢筋间距</t>
  </si>
  <si>
    <t>排架、梁、柱</t>
  </si>
  <si>
    <t>允许偏差±0.5d</t>
  </si>
  <si>
    <t>板、墙</t>
  </si>
  <si>
    <t>允许偏差±0.1倍间距</t>
  </si>
  <si>
    <t>设计150mm，200mm</t>
  </si>
  <si>
    <t xml:space="preserve">实测值：@int&lt;145,155&gt;，@int&lt;145,155&gt;，@int&lt;145,155&gt;，@int&lt;145,155&gt;，@int&lt;145,155&gt;，@int&lt;145,155&gt;，@int&lt;145,155&gt;，@int&lt;145,155&gt;，@int&lt;145,155&gt;，@int&lt;145,155&gt;
，@int&lt;180,220&gt;，@int&lt;180,220&gt;，@int&lt;180,220&gt;，@int&lt;180,220&gt;，@int&lt;180,220&gt;，@int&lt;180,220&gt;，@int&lt;180,220&gt;，@int&lt;180,220&gt;，@int&lt;180,220&gt;，@int&lt;180,220&gt;
</t>
  </si>
  <si>
    <r>
      <rPr>
        <sz val="9"/>
        <rFont val="宋体"/>
        <charset val="134"/>
      </rPr>
      <t>双排钢筋，其排与排间距</t>
    </r>
    <r>
      <rPr>
        <b/>
        <sz val="9"/>
        <color indexed="10"/>
        <rFont val="宋体"/>
        <charset val="134"/>
      </rPr>
      <t>（间距200mm）</t>
    </r>
  </si>
  <si>
    <t>允许偏差±0.1倍排距</t>
  </si>
  <si>
    <r>
      <rPr>
        <sz val="9"/>
        <rFont val="宋体"/>
        <charset val="134"/>
      </rPr>
      <t>梁与柱中箍筋间距</t>
    </r>
    <r>
      <rPr>
        <b/>
        <sz val="9"/>
        <color indexed="10"/>
        <rFont val="宋体"/>
        <charset val="134"/>
      </rPr>
      <t>（间距200mm）</t>
    </r>
  </si>
  <si>
    <t>允许偏差±0.1倍箍筋间距</t>
  </si>
  <si>
    <r>
      <rPr>
        <sz val="9"/>
        <rFont val="宋体"/>
        <charset val="134"/>
      </rPr>
      <t xml:space="preserve">      主控项目检验点全部合格，一般项目逐项检验点的合格率均不小于__</t>
    </r>
    <r>
      <rPr>
        <u/>
        <sz val="9"/>
        <color rgb="FFFF0000"/>
        <rFont val="宋体"/>
        <charset val="134"/>
      </rPr>
      <t>70</t>
    </r>
    <r>
      <rPr>
        <sz val="9"/>
        <rFont val="宋体"/>
        <charset val="134"/>
      </rPr>
      <t>___%，且不合格点不集中分布，各项报验资料__</t>
    </r>
    <r>
      <rPr>
        <u/>
        <sz val="9"/>
        <color rgb="FFFF0000"/>
        <rFont val="宋体"/>
        <charset val="134"/>
      </rPr>
      <t>符合</t>
    </r>
    <r>
      <rPr>
        <sz val="9"/>
        <rFont val="宋体"/>
        <charset val="134"/>
      </rPr>
      <t>___SL 632—2012的要求。</t>
    </r>
  </si>
  <si>
    <t xml:space="preserve">                                                                                              年    月    日</t>
  </si>
  <si>
    <t xml:space="preserve">    工序质量等级评定为：          </t>
  </si>
  <si>
    <t xml:space="preserve">                                                                    （签字，加盖公章）</t>
  </si>
  <si>
    <t xml:space="preserve">年   月   日   </t>
  </si>
  <si>
    <r>
      <rPr>
        <b/>
        <sz val="14"/>
        <color rgb="FF000000"/>
        <rFont val="宋体"/>
        <charset val="134"/>
      </rPr>
      <t>表2.1.4         预埋件制作及安装工序施工质量验收评定表（</t>
    </r>
    <r>
      <rPr>
        <b/>
        <sz val="10"/>
        <color rgb="FFFF0000"/>
        <rFont val="宋体"/>
        <charset val="134"/>
      </rPr>
      <t>未找到对应设计值）</t>
    </r>
  </si>
  <si>
    <t>止水片、止水带</t>
  </si>
  <si>
    <t>片（带）外观</t>
  </si>
  <si>
    <t>表面平整，无浮皮、锈污、油渍、砂眼、钉孔、裂纹等</t>
  </si>
  <si>
    <t>止水片表面，无各种污染和缺损，检查结果完全符合质量要求。</t>
  </si>
  <si>
    <t>基座</t>
  </si>
  <si>
    <t>符合设计要求（按基础面要求验收合格）</t>
  </si>
  <si>
    <t>基座按设计要求处理并验收合格，无松动岩块、无浮土，检查结果完全符合质量要求。</t>
  </si>
  <si>
    <t>片（带）插入深度</t>
  </si>
  <si>
    <r>
      <rPr>
        <sz val="9"/>
        <rFont val="宋体"/>
        <charset val="134"/>
      </rPr>
      <t>岸坡两块止水片插入岩基深度为：</t>
    </r>
    <r>
      <rPr>
        <sz val="9"/>
        <color rgb="FFFF0000"/>
        <rFont val="宋体"/>
        <charset val="134"/>
      </rPr>
      <t>@float.2&lt;0.59,0.62&gt;</t>
    </r>
    <r>
      <rPr>
        <sz val="9"/>
        <color rgb="FFFF0000"/>
        <rFont val="汉仪青云简"/>
        <charset val="134"/>
      </rPr>
      <t>m</t>
    </r>
    <r>
      <rPr>
        <sz val="9"/>
        <color rgb="FFFF0000"/>
        <rFont val="宋体"/>
        <charset val="134"/>
      </rPr>
      <t>，@float.2&lt;0.59,0.62&gt;</t>
    </r>
    <r>
      <rPr>
        <sz val="9"/>
        <color rgb="FFFF0000"/>
        <rFont val="汉仪青云简"/>
        <charset val="134"/>
      </rPr>
      <t>m</t>
    </r>
    <r>
      <rPr>
        <sz val="9"/>
        <color rgb="FFFF0000"/>
        <rFont val="宋体"/>
        <charset val="134"/>
      </rPr>
      <t>。</t>
    </r>
  </si>
  <si>
    <t>沥青井（柱）</t>
  </si>
  <si>
    <t>位置准确、牢固，上下层衔接好，电热元件及绝热材料埋设准确，沥青填塞密实</t>
  </si>
  <si>
    <t>接头</t>
  </si>
  <si>
    <t>符合工艺要求</t>
  </si>
  <si>
    <t>止水铜片双面氧焊，焊接工艺完全符合质量要求。</t>
  </si>
  <si>
    <t>片（带）偏差</t>
  </si>
  <si>
    <t>宽</t>
  </si>
  <si>
    <r>
      <rPr>
        <sz val="9"/>
        <color rgb="FFFF0000"/>
        <rFont val="宋体"/>
        <charset val="134"/>
      </rPr>
      <t>设计值：</t>
    </r>
    <r>
      <rPr>
        <sz val="9"/>
        <color rgb="FFFF0000"/>
        <rFont val="汉仪青云简"/>
        <charset val="134"/>
      </rPr>
      <t>400mm</t>
    </r>
    <r>
      <rPr>
        <sz val="9"/>
        <color rgb="FFFF0000"/>
        <rFont val="宋体"/>
        <charset val="134"/>
      </rPr>
      <t xml:space="preserve">，实测值：@int&lt;395,405&gt;，@int&lt;395,405&gt;，@int&lt;395,405&gt;，@int&lt;395,405&gt;，@int&lt;395,405&gt;
</t>
    </r>
  </si>
  <si>
    <t>高</t>
  </si>
  <si>
    <t>允许偏差±2mm</t>
  </si>
  <si>
    <r>
      <rPr>
        <sz val="9"/>
        <color rgb="FFFF0000"/>
        <rFont val="宋体"/>
        <charset val="134"/>
      </rPr>
      <t>设计值：</t>
    </r>
    <r>
      <rPr>
        <sz val="9"/>
        <color rgb="FFFF0000"/>
        <rFont val="汉仪青云简"/>
        <charset val="134"/>
      </rPr>
      <t>30mm</t>
    </r>
    <r>
      <rPr>
        <sz val="9"/>
        <color rgb="FFFF0000"/>
        <rFont val="宋体"/>
        <charset val="134"/>
      </rPr>
      <t xml:space="preserve">，实测值：@int&lt;28,32&gt;，@int&lt;28,32&gt;，@int&lt;28,32&gt;，@int&lt;28,32&gt;，@int&lt;28,32&gt;
</t>
    </r>
  </si>
  <si>
    <t>长</t>
  </si>
  <si>
    <t>金属止水片</t>
  </si>
  <si>
    <t>≥20mm,双面焊接</t>
  </si>
  <si>
    <t xml:space="preserve">双面焊接，实测值：@int&lt;20,25&gt;，@int&lt;20,25&gt;，@int&lt;20,25&gt;，@int&lt;20,25&gt;，@int&lt;20,25&gt;，@int&lt;20,25&gt;，@int&lt;20,25&gt;，@int&lt;20,25&gt;
</t>
  </si>
  <si>
    <t>橡胶、PVC止水带</t>
  </si>
  <si>
    <t>≥lOOmm</t>
  </si>
  <si>
    <t>金属止水片与PVC止水带接头栓接长度</t>
  </si>
  <si>
    <t>≥350mm（螺栓栓接法）</t>
  </si>
  <si>
    <t>片（带）中心线与接缝中心线安装偏差</t>
  </si>
  <si>
    <t xml:space="preserve">@int&lt;0,5&gt;，@int&lt;0,5&gt;，@int&lt;0,5&gt;，@int&lt;0,5&gt;，@int&lt;0,5&gt;，@int&lt;0,5&gt;，@int&lt;0,5&gt;，@int&lt;0,5&gt;，@int&lt;0,5&gt;，@int&lt;0,5&gt;
</t>
  </si>
  <si>
    <t>伸缩缝（填充材料）</t>
  </si>
  <si>
    <t>伸缩缝缝面</t>
  </si>
  <si>
    <t>平整、顺直、干燥，外露铁件应割除，确保伸缩有效</t>
  </si>
  <si>
    <t>平整、顺直、干燥，无外露铁件及杂质，检查结果完全符合质量要求。</t>
  </si>
  <si>
    <t>涂敷沥青料</t>
  </si>
  <si>
    <t>涂刷均匀平整、与混凝土粘接紧密，无气泡及隆起现象</t>
  </si>
  <si>
    <t>粘贴沥青油毛毡</t>
  </si>
  <si>
    <t>铺设厚度均匀平整、牢固、搭接紧密</t>
  </si>
  <si>
    <t>铺设预制油毡板或其他闭缝板</t>
  </si>
  <si>
    <t>铺设厚度均匀平整、牢固、相邻块安装紧密平整无缝</t>
  </si>
  <si>
    <t>铺设泡沫嵌缝板厚度均匀，平整、牢固，填塞紧密无空洞，检查结果基本符合质量要求。</t>
  </si>
  <si>
    <t>续表2.1.4</t>
  </si>
  <si>
    <t>排水系统</t>
  </si>
  <si>
    <t>孔口装置</t>
  </si>
  <si>
    <t>按设计要求加工、安装，并进行防锈处理，安装牢固，不应有渗水、漏水现象</t>
  </si>
  <si>
    <t>采用PVC管，安装牢固，无渗水、漏水现象，管口用木塞堵紧，检查结果完全符合质量要求。</t>
  </si>
  <si>
    <t>排水管通畅性</t>
  </si>
  <si>
    <t>通畅</t>
  </si>
  <si>
    <t>经通水试验，全部通畅，检查结果完全符合质量要求。</t>
  </si>
  <si>
    <t>排水孔倾斜度</t>
  </si>
  <si>
    <t>允许偏差4%</t>
  </si>
  <si>
    <t xml:space="preserve">@int&lt;1,3&gt;，@int&lt;1,3&gt;，@int&lt;1,3&gt;，@int&lt;1,3&gt;，@int&lt;1,3&gt;，@int&lt;1,3&gt;，@int&lt;1,3&gt;，@int&lt;1,3&gt;，@int&lt;1,3&gt;，@int&lt;1,3&gt;
</t>
  </si>
  <si>
    <t>排水孔（管）位置</t>
  </si>
  <si>
    <t>允许偏差100mm</t>
  </si>
  <si>
    <t xml:space="preserve">@int&lt;20,25&gt;，@int&lt;20,25&gt;，@int&lt;20,25&gt;，@int&lt;20,25&gt;，@int&lt;20,25&gt;，@int&lt;20,25&gt;，@int&lt;20,25&gt;，@int&lt;20,25&gt;，@int&lt;20,25&gt;，@int&lt;20,25&gt;
</t>
  </si>
  <si>
    <t>基岩排水孔</t>
  </si>
  <si>
    <t>倾斜度</t>
  </si>
  <si>
    <t>孔深不小于8m</t>
  </si>
  <si>
    <t>允许偏差1%</t>
  </si>
  <si>
    <t>孔深小于8m</t>
  </si>
  <si>
    <t>允许偏差2%</t>
  </si>
  <si>
    <t>深度</t>
  </si>
  <si>
    <t>允许偏差±0.5%</t>
  </si>
  <si>
    <t>@float.1&lt;0.1,0.5&gt;，@float.1&lt;0.1,0.5&gt;，@float.1&lt;0.1,0.5&gt;，@float.1&lt;0.1,0.5&gt;，@float.1&lt;0.1,0.5&gt;，@float.1&lt;0.1,0.5&gt;，@float.1&lt;0.1,0.5&gt;，@float.1&lt;0.1,0.5&gt;，@float.1&lt;0.1,0.5&gt;，@float.1&lt;0.1,0.5&gt;</t>
  </si>
  <si>
    <t>冷却及灌浆管路</t>
  </si>
  <si>
    <t>管路安装</t>
  </si>
  <si>
    <t>安装牢固、可靠，接头不漏水、不漏气、无堵塞</t>
  </si>
  <si>
    <t>灌浆管安装牢固，不漏水、不漏气、无堵塞现象，检查结果完全符合质量要求。</t>
  </si>
  <si>
    <t>管路出口</t>
  </si>
  <si>
    <r>
      <rPr>
        <sz val="9"/>
        <rFont val="宋体"/>
        <charset val="134"/>
      </rPr>
      <t>露出模板外</t>
    </r>
    <r>
      <rPr>
        <sz val="9"/>
        <color rgb="FFFF0000"/>
        <rFont val="宋体"/>
        <charset val="134"/>
      </rPr>
      <t>300～500mm</t>
    </r>
    <r>
      <rPr>
        <sz val="9"/>
        <rFont val="宋体"/>
        <charset val="134"/>
      </rPr>
      <t>,妥善保护，有识别标志</t>
    </r>
  </si>
  <si>
    <t>@int&lt;300,500&gt;，@int&lt;300,500&gt;，@int&lt;300,500&gt;，@int&lt;300,500&gt;，@int&lt;300,500&gt;</t>
  </si>
  <si>
    <t>铁件</t>
  </si>
  <si>
    <t>高程、方位、埋入深度及外露长度等</t>
  </si>
  <si>
    <t>铁件外观</t>
  </si>
  <si>
    <t>表面无锈皮、油污等</t>
  </si>
  <si>
    <t>锚筋钻孔位置</t>
  </si>
  <si>
    <t>梁、柱的锚筋</t>
  </si>
  <si>
    <t>钢筋网的锚筋</t>
  </si>
  <si>
    <t>允许偏差50mm</t>
  </si>
  <si>
    <t>钻孔底部的孔径</t>
  </si>
  <si>
    <t>锚筋直径d+20mm</t>
  </si>
  <si>
    <t>钻孔深度</t>
  </si>
  <si>
    <t>钻孔的倾斜度相对设计轴线</t>
  </si>
  <si>
    <t>允许偏差5%（在全孔深度范围内）</t>
  </si>
  <si>
    <r>
      <rPr>
        <sz val="9"/>
        <rFont val="宋体"/>
        <charset val="134"/>
      </rPr>
      <t xml:space="preserve">    主控项目检验点全部合格，一般项目逐项检验点的合格率均不小于_</t>
    </r>
    <r>
      <rPr>
        <u/>
        <sz val="9"/>
        <color rgb="FFFF0000"/>
        <rFont val="宋体"/>
        <charset val="134"/>
      </rPr>
      <t>_70</t>
    </r>
    <r>
      <rPr>
        <sz val="9"/>
        <rFont val="宋体"/>
        <charset val="134"/>
      </rPr>
      <t>___%，且不合格点不集中分布，</t>
    </r>
  </si>
  <si>
    <r>
      <rPr>
        <sz val="9"/>
        <rFont val="宋体"/>
        <charset val="134"/>
      </rPr>
      <t>各项报验资料__</t>
    </r>
    <r>
      <rPr>
        <u/>
        <sz val="9"/>
        <color rgb="FFFF0000"/>
        <rFont val="宋体"/>
        <charset val="134"/>
      </rPr>
      <t>符合</t>
    </r>
    <r>
      <rPr>
        <sz val="9"/>
        <rFont val="宋体"/>
        <charset val="134"/>
      </rPr>
      <t>___SL 632—2012的要求。</t>
    </r>
  </si>
  <si>
    <t xml:space="preserve">    经复核，主控项目检验点全部合格，一般项目逐项检验点的合格率均不小于_____%，且不合格点</t>
  </si>
  <si>
    <t>不集中分布，各项报验资料_____SL 632—2012的要求。</t>
  </si>
  <si>
    <r>
      <rPr>
        <b/>
        <sz val="14"/>
        <color rgb="FF000000"/>
        <rFont val="宋体"/>
        <charset val="134"/>
      </rPr>
      <t>表2.1.5           混凝土浇筑工序施工质量验收评定表</t>
    </r>
    <r>
      <rPr>
        <b/>
        <sz val="14"/>
        <color rgb="FFFF0000"/>
        <rFont val="宋体"/>
        <charset val="134"/>
      </rPr>
      <t>（未找到对应设计值）</t>
    </r>
  </si>
  <si>
    <t xml:space="preserve">   年   月   日～     年   月   日</t>
  </si>
  <si>
    <t>检査记录</t>
  </si>
  <si>
    <t>入仓混凝土料</t>
  </si>
  <si>
    <t>无不合格料入仓。如有少量不合格料入仓，应及时处理至达到要求</t>
  </si>
  <si>
    <t>无不合格料入仓，检查结果完全符合质量要求。</t>
  </si>
  <si>
    <t>平仓分层</t>
  </si>
  <si>
    <t>厚度不大于振捣棒有效长度的90%，铺设均匀，分层清楚，无骨料集中现象</t>
  </si>
  <si>
    <t>厚度大约40～50cm，铺设均匀、分层清楚，无骨料集中现象，检查结果完全符合质量要求。</t>
  </si>
  <si>
    <t>混凝土振捣</t>
  </si>
  <si>
    <t>振捣器垂直插入下层5cm，有次序，间距、留振时间合理，无漏振、无超振</t>
  </si>
  <si>
    <t>振捣器垂直插入下层混凝土5cm左右，有次序，间距、留振时间合理，无漏振，无过振，检查结果完全符合质量要求。</t>
  </si>
  <si>
    <t>铺筑间歇时间</t>
  </si>
  <si>
    <t>符合要求，无初凝现象</t>
  </si>
  <si>
    <t>间歇时间符合要求，无初凝现象，检查结果完全符合质量要求。</t>
  </si>
  <si>
    <t>浇筑温度（指有温控要求的混凝土）</t>
  </si>
  <si>
    <t>满足设计要求</t>
  </si>
  <si>
    <t>混凝土养护</t>
  </si>
  <si>
    <t>表面保持湿润；连续养护时间基本满足设计要求</t>
  </si>
  <si>
    <t>面层浇筑完成并初凝后及时开始养护，保持湿润，计划验收评定后继续养护到设计要求28d，检查结果完全符合质量要求。</t>
  </si>
  <si>
    <t>砂浆铺筑</t>
  </si>
  <si>
    <r>
      <rPr>
        <sz val="9"/>
        <rFont val="宋体"/>
        <charset val="134"/>
      </rPr>
      <t>厚度宜为</t>
    </r>
    <r>
      <rPr>
        <sz val="9"/>
        <color rgb="FFFF0000"/>
        <rFont val="宋体"/>
        <charset val="134"/>
      </rPr>
      <t>2～3cm</t>
    </r>
    <r>
      <rPr>
        <sz val="9"/>
        <rFont val="宋体"/>
        <charset val="134"/>
      </rPr>
      <t>，均匀平整，无漏铺</t>
    </r>
  </si>
  <si>
    <t xml:space="preserve">铺筑均匀平整，无漏铺，@int&lt;2,3&gt;，@int&lt;2,3&gt;，@int&lt;2,3&gt;，@int&lt;2,3&gt;，@int&lt;2,3&gt;，@int&lt;2,3&gt;，@int&lt;2,3&gt;，@int&lt;2,3&gt;，@int&lt;2,3&gt;，@int&lt;2,3&gt;，@int&lt;2,3&gt;，@int&lt;2,3&gt;，@int&lt;2,3&gt;，@int&lt;2,3&gt;，@int&lt;2,3&gt;，@int&lt;2,3&gt;，@int&lt;2,3&gt;，@int&lt;2,3&gt;，@int&lt;2,3&gt;，@int&lt;2,3&gt;
</t>
  </si>
  <si>
    <t>积水和泌水</t>
  </si>
  <si>
    <t>无外部水流入，泌水排除及时</t>
  </si>
  <si>
    <t>无外水流入，无积水，少量泌水已及时排除，检查结果基本符合质量要求。</t>
  </si>
  <si>
    <t>插筋、管路等埋设件以及模板的保护</t>
  </si>
  <si>
    <t>保护好，符合设计要求</t>
  </si>
  <si>
    <r>
      <rPr>
        <sz val="10"/>
        <color rgb="FFFF0000"/>
        <rFont val="宋体"/>
        <charset val="134"/>
      </rPr>
      <t>抽查20处，有1处止水片有轻微位移</t>
    </r>
    <r>
      <rPr>
        <sz val="10"/>
        <rFont val="宋体"/>
        <charset val="134"/>
      </rPr>
      <t>，但不影响使用功能，其他保护完好，检查结果基本符合质量要求。</t>
    </r>
  </si>
  <si>
    <t>混凝土表面保护</t>
  </si>
  <si>
    <t>保护时间、保温材料质量符合设计要求</t>
  </si>
  <si>
    <t>脱模</t>
  </si>
  <si>
    <t>脱模时间符合施工技术规范或设计要求</t>
  </si>
  <si>
    <r>
      <rPr>
        <sz val="10"/>
        <rFont val="宋体"/>
        <charset val="134"/>
      </rPr>
      <t>已在达到</t>
    </r>
    <r>
      <rPr>
        <sz val="10"/>
        <color rgb="FFFF0000"/>
        <rFont val="宋体"/>
        <charset val="134"/>
      </rPr>
      <t>设计强度（</t>
    </r>
    <r>
      <rPr>
        <sz val="10"/>
        <color rgb="FFFF0000"/>
        <rFont val="汉仪青云简"/>
        <charset val="134"/>
      </rPr>
      <t>C30</t>
    </r>
    <r>
      <rPr>
        <sz val="10"/>
        <color rgb="FFFF0000"/>
        <rFont val="宋体"/>
        <charset val="134"/>
      </rPr>
      <t>）</t>
    </r>
    <r>
      <rPr>
        <sz val="10"/>
        <rFont val="宋体"/>
        <charset val="134"/>
      </rPr>
      <t>后进行脱模，检查结果基本符合质量要求。</t>
    </r>
  </si>
  <si>
    <r>
      <rPr>
        <sz val="9"/>
        <rFont val="宋体"/>
        <charset val="134"/>
      </rPr>
      <t xml:space="preserve">    工序质量等级评定为：</t>
    </r>
    <r>
      <rPr>
        <u/>
        <sz val="9"/>
        <color rgb="FFFF0000"/>
        <rFont val="宋体"/>
        <charset val="134"/>
      </rPr>
      <t>合格</t>
    </r>
  </si>
  <si>
    <t xml:space="preserve">    经复核，主控项目检验点全部合格，一般项目逐项检验点的合格率均不小于_____%，且不合格点不集中分布，</t>
  </si>
  <si>
    <t>各项报验资料_____SL 632—2012的要求。</t>
  </si>
  <si>
    <r>
      <rPr>
        <b/>
        <sz val="14"/>
        <color rgb="FF000000"/>
        <rFont val="宋体"/>
        <charset val="134"/>
      </rPr>
      <t>表2.1.6     普通混凝土外观质量检查工序施工质量验收评定表</t>
    </r>
    <r>
      <rPr>
        <b/>
        <sz val="9"/>
        <color rgb="FFFF0000"/>
        <rFont val="宋体"/>
        <charset val="134"/>
      </rPr>
      <t>（未找到对应设计值）</t>
    </r>
  </si>
  <si>
    <t>有平整度要求的部位</t>
  </si>
  <si>
    <t xml:space="preserve">符合设计要求
</t>
  </si>
  <si>
    <t>形体尺寸</t>
  </si>
  <si>
    <t>符合设计要求或允许偏差±20mm</t>
  </si>
  <si>
    <t>设计值：17×30m</t>
  </si>
  <si>
    <t xml:space="preserve">实测值：@float.3&lt;17,17.02&gt;×@float.2&lt;29.98,30.02&gt;，@float.3&lt;17,17.02&gt;×@float.2&lt;29.98,30.02&gt;，@float.3&lt;17,17.02&gt;×@float.2&lt;29.98,30.02&gt;，@float.3&lt;17,17.02&gt;×@float.2&lt;29.98,30.02&gt;，@float.3&lt;17,17.02&gt;×@float.2&lt;29.98,30.02&gt;，@float.3&lt;17,17.02&gt;×@float.2&lt;29.98,30.02&gt;
</t>
  </si>
  <si>
    <t>重要部位缺损</t>
  </si>
  <si>
    <t>不允许出现缺损</t>
  </si>
  <si>
    <t>无缺损，检查结果完全符合质量要求。</t>
  </si>
  <si>
    <t>表面平整度</t>
  </si>
  <si>
    <t xml:space="preserve">每2m偏差不大于8mm
</t>
  </si>
  <si>
    <t xml:space="preserve">@float.1&lt;0.4,7.6&gt;，@float.1&lt;0.4,7.6&gt;，@float.1&lt;0.4,7.6&gt;，@float.1&lt;0.4,7.6&gt;，@float.1&lt;0.4,7.6&gt;，@float.1&lt;0.4,7.6&gt;，@float.1&lt;0.4,7.6&gt;，@float.1&lt;0.4,7.6&gt;，@float.1&lt;0.4,7.6&gt;，@float.1&lt;0.4,7.6&gt;
</t>
  </si>
  <si>
    <t>麻面、蜂窝</t>
  </si>
  <si>
    <r>
      <rPr>
        <sz val="9"/>
        <rFont val="宋体"/>
        <charset val="134"/>
      </rPr>
      <t>麻面、蜂窝累计面积不超过</t>
    </r>
    <r>
      <rPr>
        <sz val="9"/>
        <color rgb="FFFF0000"/>
        <rFont val="宋体"/>
        <charset val="134"/>
      </rPr>
      <t>0.5%</t>
    </r>
    <r>
      <rPr>
        <sz val="9"/>
        <rFont val="宋体"/>
        <charset val="134"/>
      </rPr>
      <t>。经处理符合设计要求</t>
    </r>
  </si>
  <si>
    <t>全面检查，无蜂窝，麻面，检查结果基本符合质量要求。</t>
  </si>
  <si>
    <t>孔洞</t>
  </si>
  <si>
    <r>
      <rPr>
        <sz val="9"/>
        <rFont val="宋体"/>
        <charset val="134"/>
      </rPr>
      <t>单个面积不超过</t>
    </r>
    <r>
      <rPr>
        <sz val="9"/>
        <color rgb="FFFF0000"/>
        <rFont val="宋体"/>
        <charset val="134"/>
      </rPr>
      <t>0.01㎡</t>
    </r>
    <r>
      <rPr>
        <sz val="9"/>
        <rFont val="宋体"/>
        <charset val="134"/>
      </rPr>
      <t>，且深度不超过骨料最大粒径。经处理符合设计要求</t>
    </r>
  </si>
  <si>
    <t>无孔，检查结果基本符合质量要求。</t>
  </si>
  <si>
    <t>错台、跑模、掉角</t>
  </si>
  <si>
    <t>经处理符合设计要求</t>
  </si>
  <si>
    <t>无跑模、掉角，少量小错台，已磨平，检查结果基本符合质量要求。</t>
  </si>
  <si>
    <t>表面裂缝</t>
  </si>
  <si>
    <t>短小、深度不大于钢筋保护层厚度的表面裂缝经处理符合设计要求</t>
  </si>
  <si>
    <t>有2处小裂缝，在10mm以内，已按要求进行处理，检查结果基本符合质量要求。</t>
  </si>
  <si>
    <r>
      <rPr>
        <sz val="9"/>
        <rFont val="宋体"/>
        <charset val="134"/>
      </rPr>
      <t xml:space="preserve">    主控项目检验点全部合格，一般项目逐项检验点的合格率均不小于___</t>
    </r>
    <r>
      <rPr>
        <u/>
        <sz val="9"/>
        <color rgb="FFFF0000"/>
        <rFont val="宋体"/>
        <charset val="134"/>
      </rPr>
      <t>70</t>
    </r>
    <r>
      <rPr>
        <u/>
        <sz val="9"/>
        <rFont val="宋体"/>
        <charset val="134"/>
      </rPr>
      <t>_</t>
    </r>
    <r>
      <rPr>
        <sz val="9"/>
        <rFont val="宋体"/>
        <charset val="134"/>
      </rPr>
      <t>_%，且不合格点不集中分布，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</si>
</sst>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  <numFmt numFmtId="178" formatCode="0_);[Red]\(0\)"/>
  </numFmts>
  <fonts count="94"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u/>
      <sz val="14"/>
      <color rgb="FFFF0000"/>
      <name val="宋体"/>
      <charset val="134"/>
    </font>
    <font>
      <b/>
      <sz val="14"/>
      <color rgb="FF000000"/>
      <name val="宋体"/>
      <charset val="134"/>
    </font>
    <font>
      <sz val="9"/>
      <name val="宋体"/>
      <charset val="134"/>
    </font>
    <font>
      <sz val="9"/>
      <color rgb="FFFF0000"/>
      <name val="方正硬笔行书简体"/>
      <charset val="134"/>
    </font>
    <font>
      <sz val="9"/>
      <color rgb="FFFF0000"/>
      <name val="宋体"/>
      <charset val="134"/>
    </font>
    <font>
      <sz val="9"/>
      <name val="方正硬笔行书简体"/>
      <charset val="134"/>
    </font>
    <font>
      <sz val="10"/>
      <color rgb="FFFF0000"/>
      <name val="汉仪青云简"/>
      <charset val="134"/>
    </font>
    <font>
      <sz val="10"/>
      <color rgb="FFFF0000"/>
      <name val="宋体"/>
      <charset val="134"/>
    </font>
    <font>
      <sz val="10"/>
      <name val="汉仪青云简"/>
      <charset val="134"/>
    </font>
    <font>
      <sz val="10"/>
      <color theme="1"/>
      <name val="Courier New"/>
      <charset val="0"/>
    </font>
    <font>
      <sz val="9"/>
      <name val="汉仪青云简"/>
      <charset val="134"/>
    </font>
    <font>
      <sz val="9"/>
      <color rgb="FFFF0000"/>
      <name val="汉仪青云简"/>
      <charset val="134"/>
    </font>
    <font>
      <sz val="10"/>
      <color theme="1"/>
      <name val="汉仪青云简"/>
      <charset val="134"/>
    </font>
    <font>
      <b/>
      <sz val="14"/>
      <name val="宋体"/>
      <charset val="134"/>
    </font>
    <font>
      <u/>
      <sz val="9"/>
      <color rgb="FFFF0000"/>
      <name val="宋体"/>
      <charset val="134"/>
    </font>
    <font>
      <sz val="10"/>
      <color rgb="FFFF0000"/>
      <name val="Times New Roman"/>
      <charset val="0"/>
    </font>
    <font>
      <sz val="11"/>
      <color rgb="FFFF0000"/>
      <name val="宋体"/>
      <charset val="134"/>
      <scheme val="minor"/>
    </font>
    <font>
      <b/>
      <u/>
      <sz val="14"/>
      <color rgb="FFFF0000"/>
      <name val="宋体"/>
      <charset val="134"/>
      <scheme val="minor"/>
    </font>
    <font>
      <b/>
      <sz val="12"/>
      <color rgb="FF000000"/>
      <name val="Arial"/>
      <charset val="0"/>
    </font>
    <font>
      <sz val="9"/>
      <color rgb="FF000000"/>
      <name val="宋体"/>
      <charset val="134"/>
    </font>
    <font>
      <sz val="10"/>
      <color rgb="FFFF0000"/>
      <name val="方正硬笔行书简体"/>
      <charset val="134"/>
    </font>
    <font>
      <sz val="9"/>
      <color rgb="FF000000"/>
      <name val="Arial"/>
      <charset val="0"/>
    </font>
    <font>
      <sz val="9"/>
      <color theme="1"/>
      <name val="宋体"/>
      <charset val="134"/>
    </font>
    <font>
      <sz val="9"/>
      <color rgb="FF000000"/>
      <name val="汉仪青云简"/>
      <charset val="134"/>
    </font>
    <font>
      <sz val="9"/>
      <color rgb="FF000000"/>
      <name val="方正硬笔行书简体"/>
      <charset val="134"/>
    </font>
    <font>
      <sz val="10"/>
      <name val="方正硬笔行书简体"/>
      <charset val="134"/>
    </font>
    <font>
      <sz val="11"/>
      <name val="宋体"/>
      <charset val="134"/>
    </font>
    <font>
      <sz val="11"/>
      <name val="汉仪青云简"/>
      <charset val="134"/>
    </font>
    <font>
      <sz val="11"/>
      <color rgb="FFFF0000"/>
      <name val="汉仪青云简"/>
      <charset val="134"/>
    </font>
    <font>
      <sz val="10"/>
      <color rgb="FFFF0000"/>
      <name val="仿宋_GB2312"/>
      <charset val="134"/>
    </font>
    <font>
      <sz val="9"/>
      <name val="仿宋_GB2312"/>
      <charset val="134"/>
    </font>
    <font>
      <sz val="10"/>
      <color theme="1"/>
      <name val="宋体"/>
      <charset val="134"/>
      <scheme val="minor"/>
    </font>
    <font>
      <sz val="10.5"/>
      <name val="宋体"/>
      <charset val="134"/>
    </font>
    <font>
      <sz val="9"/>
      <color rgb="FFFF0000"/>
      <name val="仿宋_GB2312"/>
      <charset val="134"/>
    </font>
    <font>
      <sz val="10"/>
      <color indexed="62"/>
      <name val="宋体"/>
      <charset val="134"/>
    </font>
    <font>
      <sz val="17"/>
      <color indexed="62"/>
      <name val="黑体"/>
      <charset val="134"/>
    </font>
    <font>
      <sz val="10"/>
      <color indexed="62"/>
      <name val="楷体"/>
      <charset val="134"/>
    </font>
    <font>
      <b/>
      <sz val="17"/>
      <color indexed="62"/>
      <name val="黑体"/>
      <charset val="134"/>
    </font>
    <font>
      <b/>
      <sz val="14"/>
      <color indexed="62"/>
      <name val="黑体"/>
      <charset val="134"/>
    </font>
    <font>
      <b/>
      <strike/>
      <sz val="17"/>
      <color indexed="62"/>
      <name val="黑体"/>
      <charset val="134"/>
    </font>
    <font>
      <sz val="17"/>
      <color indexed="62"/>
      <name val="宋体"/>
      <charset val="134"/>
    </font>
    <font>
      <sz val="19"/>
      <color indexed="62"/>
      <name val="隶书"/>
      <charset val="134"/>
    </font>
    <font>
      <sz val="17"/>
      <name val="黑体"/>
      <charset val="134"/>
    </font>
    <font>
      <b/>
      <sz val="17"/>
      <color rgb="FF000000"/>
      <name val="黑体"/>
      <charset val="134"/>
    </font>
    <font>
      <sz val="14"/>
      <color indexed="62"/>
      <name val="宋体"/>
      <charset val="134"/>
    </font>
    <font>
      <sz val="14"/>
      <color indexed="62"/>
      <name val="楷体"/>
      <charset val="134"/>
    </font>
    <font>
      <sz val="14"/>
      <color rgb="FFFF0000"/>
      <name val="楷体"/>
      <charset val="134"/>
    </font>
    <font>
      <b/>
      <sz val="14"/>
      <color indexed="62"/>
      <name val="宋体"/>
      <charset val="134"/>
    </font>
    <font>
      <sz val="10"/>
      <color rgb="FF000000"/>
      <name val="宋体"/>
      <charset val="134"/>
    </font>
    <font>
      <sz val="10"/>
      <color rgb="FFFF0000"/>
      <name val="楷体"/>
      <charset val="134"/>
    </font>
    <font>
      <sz val="10"/>
      <color rgb="FF000000"/>
      <name val="楷体"/>
      <charset val="134"/>
    </font>
    <font>
      <sz val="10"/>
      <color indexed="62"/>
      <name val="汉仪青云简"/>
      <charset val="134"/>
    </font>
    <font>
      <b/>
      <u/>
      <sz val="12"/>
      <color rgb="FFFF0000"/>
      <name val="宋体"/>
      <charset val="134"/>
    </font>
    <font>
      <b/>
      <u/>
      <sz val="12"/>
      <color indexed="62"/>
      <name val="宋体"/>
      <charset val="134"/>
    </font>
    <font>
      <b/>
      <sz val="10"/>
      <color indexed="62"/>
      <name val="宋体"/>
      <charset val="134"/>
    </font>
    <font>
      <sz val="12"/>
      <color indexed="62"/>
      <name val="楷体"/>
      <charset val="134"/>
    </font>
    <font>
      <sz val="12"/>
      <color rgb="FF000000"/>
      <name val="楷体"/>
      <charset val="134"/>
    </font>
    <font>
      <u/>
      <sz val="10"/>
      <color indexed="6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color indexed="10"/>
      <name val="宋体"/>
      <charset val="134"/>
    </font>
    <font>
      <u/>
      <sz val="10"/>
      <name val="宋体"/>
      <charset val="134"/>
    </font>
    <font>
      <u/>
      <sz val="10"/>
      <color indexed="10"/>
      <name val="宋体"/>
      <charset val="134"/>
    </font>
    <font>
      <u/>
      <sz val="9"/>
      <name val="宋体"/>
      <charset val="134"/>
    </font>
    <font>
      <sz val="10"/>
      <color rgb="FFFF0000"/>
      <name val="宋体"/>
      <charset val="0"/>
    </font>
    <font>
      <b/>
      <sz val="14"/>
      <color indexed="8"/>
      <name val="宋体"/>
      <charset val="134"/>
    </font>
    <font>
      <b/>
      <sz val="9"/>
      <color rgb="FFFF0000"/>
      <name val="宋体"/>
      <charset val="134"/>
    </font>
    <font>
      <b/>
      <sz val="12"/>
      <color indexed="8"/>
      <name val="宋体"/>
      <charset val="134"/>
    </font>
    <font>
      <b/>
      <sz val="14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indexed="10"/>
      <name val="宋体"/>
      <charset val="134"/>
    </font>
    <font>
      <sz val="14"/>
      <color indexed="8"/>
      <name val="宋体"/>
      <charset val="134"/>
    </font>
    <font>
      <b/>
      <sz val="14"/>
      <color rgb="FF000000"/>
      <name val="Cambria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/>
      <diagonal/>
    </border>
    <border>
      <left style="medium">
        <color indexed="62"/>
      </left>
      <right/>
      <top/>
      <bottom style="thin">
        <color indexed="62"/>
      </bottom>
      <diagonal/>
    </border>
    <border>
      <left/>
      <right/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/>
      <top/>
      <bottom style="medium">
        <color indexed="62"/>
      </bottom>
      <diagonal/>
    </border>
    <border>
      <left style="thin">
        <color indexed="62"/>
      </left>
      <right/>
      <top style="medium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/>
      <top/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/>
      <top/>
      <bottom style="medium">
        <color indexed="62"/>
      </bottom>
      <diagonal/>
    </border>
    <border>
      <left/>
      <right style="medium">
        <color indexed="62"/>
      </right>
      <top style="medium">
        <color indexed="62"/>
      </top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/>
      <bottom style="medium">
        <color indexed="62"/>
      </bottom>
      <diagonal/>
    </border>
    <border>
      <left style="medium">
        <color indexed="62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/>
      <top style="medium">
        <color indexed="62"/>
      </top>
      <bottom style="thin">
        <color indexed="8"/>
      </bottom>
      <diagonal/>
    </border>
    <border>
      <left style="medium">
        <color indexed="62"/>
      </left>
      <right style="thin">
        <color indexed="62"/>
      </right>
      <top/>
      <bottom/>
      <diagonal/>
    </border>
    <border>
      <left style="medium">
        <color indexed="62"/>
      </left>
      <right style="thin">
        <color indexed="62"/>
      </right>
      <top/>
      <bottom style="medium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2"/>
      </right>
      <top style="medium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 style="thin">
        <color indexed="62"/>
      </left>
      <right/>
      <top/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auto="1"/>
      </left>
      <right style="thin">
        <color indexed="62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2"/>
      </right>
      <top style="thin">
        <color auto="1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auto="1"/>
      </top>
      <bottom style="thin">
        <color indexed="62"/>
      </bottom>
      <diagonal/>
    </border>
    <border>
      <left style="thin">
        <color auto="1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auto="1"/>
      </right>
      <top style="thin">
        <color auto="1"/>
      </top>
      <bottom style="thin">
        <color indexed="62"/>
      </bottom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auto="1"/>
      </right>
      <top style="thin">
        <color indexed="62"/>
      </top>
      <bottom/>
      <diagonal/>
    </border>
    <border>
      <left style="thin">
        <color auto="1"/>
      </left>
      <right style="thin">
        <color auto="1"/>
      </right>
      <top style="thin">
        <color indexed="62"/>
      </top>
      <bottom style="thin">
        <color indexed="62"/>
      </bottom>
      <diagonal/>
    </border>
    <border>
      <left style="thin">
        <color auto="1"/>
      </left>
      <right style="thin">
        <color auto="1"/>
      </right>
      <top style="thin">
        <color indexed="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auto="1"/>
      </right>
      <top style="thin">
        <color indexed="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2"/>
      </top>
      <bottom style="thin">
        <color auto="1"/>
      </bottom>
      <diagonal/>
    </border>
    <border>
      <left style="thin">
        <color auto="1"/>
      </left>
      <right style="thin">
        <color indexed="62"/>
      </right>
      <top style="thin">
        <color indexed="62"/>
      </top>
      <bottom style="thin">
        <color auto="1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41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3" borderId="7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80" applyNumberFormat="0" applyFill="0" applyAlignment="0" applyProtection="0">
      <alignment vertical="center"/>
    </xf>
    <xf numFmtId="0" fontId="67" fillId="0" borderId="80" applyNumberFormat="0" applyFill="0" applyAlignment="0" applyProtection="0">
      <alignment vertical="center"/>
    </xf>
    <xf numFmtId="0" fontId="68" fillId="0" borderId="81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4" borderId="82" applyNumberFormat="0" applyAlignment="0" applyProtection="0">
      <alignment vertical="center"/>
    </xf>
    <xf numFmtId="0" fontId="70" fillId="5" borderId="83" applyNumberFormat="0" applyAlignment="0" applyProtection="0">
      <alignment vertical="center"/>
    </xf>
    <xf numFmtId="0" fontId="71" fillId="5" borderId="82" applyNumberFormat="0" applyAlignment="0" applyProtection="0">
      <alignment vertical="center"/>
    </xf>
    <xf numFmtId="0" fontId="72" fillId="6" borderId="84" applyNumberFormat="0" applyAlignment="0" applyProtection="0">
      <alignment vertical="center"/>
    </xf>
    <xf numFmtId="0" fontId="73" fillId="0" borderId="85" applyNumberFormat="0" applyFill="0" applyAlignment="0" applyProtection="0">
      <alignment vertical="center"/>
    </xf>
    <xf numFmtId="0" fontId="74" fillId="0" borderId="86" applyNumberFormat="0" applyFill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8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</cellStyleXfs>
  <cellXfs count="60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justify" vertical="center" wrapText="1"/>
    </xf>
    <xf numFmtId="0" fontId="4" fillId="0" borderId="7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4" fillId="0" borderId="14" xfId="0" applyFont="1" applyFill="1" applyBorder="1" applyAlignment="1">
      <alignment horizontal="justify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9" fontId="8" fillId="0" borderId="4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9" fontId="8" fillId="0" borderId="8" xfId="0" applyNumberFormat="1" applyFont="1" applyFill="1" applyBorder="1" applyAlignment="1">
      <alignment horizontal="center" vertical="center" wrapText="1"/>
    </xf>
    <xf numFmtId="9" fontId="10" fillId="0" borderId="2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4" fillId="0" borderId="12" xfId="0" applyFont="1" applyFill="1" applyBorder="1" applyAlignment="1">
      <alignment horizontal="justify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right" vertical="center" wrapText="1"/>
    </xf>
    <xf numFmtId="0" fontId="4" fillId="0" borderId="1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textRotation="255" wrapText="1"/>
    </xf>
    <xf numFmtId="0" fontId="4" fillId="0" borderId="2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9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9" fontId="13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9" fontId="13" fillId="0" borderId="4" xfId="0" applyNumberFormat="1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9" fontId="13" fillId="0" borderId="8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3" fontId="13" fillId="0" borderId="3" xfId="0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justify" vertical="center" wrapText="1"/>
    </xf>
    <xf numFmtId="0" fontId="4" fillId="0" borderId="15" xfId="0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 wrapText="1"/>
    </xf>
    <xf numFmtId="176" fontId="12" fillId="0" borderId="6" xfId="0" applyNumberFormat="1" applyFont="1" applyFill="1" applyBorder="1" applyAlignment="1">
      <alignment horizontal="center" vertical="center" wrapText="1"/>
    </xf>
    <xf numFmtId="176" fontId="12" fillId="0" borderId="9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2" fillId="0" borderId="10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9" fontId="10" fillId="0" borderId="4" xfId="0" applyNumberFormat="1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9" fontId="10" fillId="0" borderId="8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vertical="center"/>
    </xf>
    <xf numFmtId="0" fontId="21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textRotation="255" wrapText="1"/>
    </xf>
    <xf numFmtId="0" fontId="23" fillId="0" borderId="2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vertical="center" wrapText="1"/>
    </xf>
    <xf numFmtId="0" fontId="24" fillId="0" borderId="13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vertical="center" wrapText="1"/>
    </xf>
    <xf numFmtId="0" fontId="21" fillId="0" borderId="7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horizontal="right" vertical="center" wrapText="1" indent="2"/>
    </xf>
    <xf numFmtId="0" fontId="23" fillId="0" borderId="0" xfId="0" applyFont="1" applyFill="1" applyBorder="1" applyAlignment="1">
      <alignment horizontal="right" vertical="center" wrapText="1" indent="2"/>
    </xf>
    <xf numFmtId="0" fontId="21" fillId="0" borderId="9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right" vertical="center" wrapText="1" indent="2"/>
    </xf>
    <xf numFmtId="0" fontId="21" fillId="0" borderId="1" xfId="0" applyFont="1" applyFill="1" applyBorder="1" applyAlignment="1">
      <alignment horizontal="right" vertical="center" wrapText="1" indent="2"/>
    </xf>
    <xf numFmtId="0" fontId="21" fillId="0" borderId="5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6" fillId="0" borderId="2" xfId="0" applyFont="1" applyFill="1" applyBorder="1" applyAlignment="1">
      <alignment horizontal="center" vertical="center" wrapText="1"/>
    </xf>
    <xf numFmtId="9" fontId="25" fillId="0" borderId="2" xfId="0" applyNumberFormat="1" applyFont="1" applyFill="1" applyBorder="1" applyAlignment="1">
      <alignment horizontal="center" vertical="center" wrapText="1"/>
    </xf>
    <xf numFmtId="9" fontId="25" fillId="0" borderId="4" xfId="0" applyNumberFormat="1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horizontal="right" vertical="center" wrapText="1" indent="2"/>
    </xf>
    <xf numFmtId="0" fontId="21" fillId="0" borderId="10" xfId="0" applyFont="1" applyFill="1" applyBorder="1" applyAlignment="1">
      <alignment horizontal="right" vertical="center" wrapText="1" indent="2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justify" vertical="center" wrapText="1"/>
    </xf>
    <xf numFmtId="0" fontId="0" fillId="0" borderId="14" xfId="0" applyFont="1" applyFill="1" applyBorder="1" applyAlignment="1">
      <alignment horizontal="justify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14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 vertical="center" wrapText="1"/>
    </xf>
    <xf numFmtId="0" fontId="0" fillId="0" borderId="9" xfId="0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horizontal="right" vertical="center" wrapText="1"/>
    </xf>
    <xf numFmtId="0" fontId="0" fillId="0" borderId="5" xfId="0" applyFont="1" applyFill="1" applyBorder="1" applyAlignment="1">
      <alignment horizontal="justify" vertical="center" wrapText="1"/>
    </xf>
    <xf numFmtId="0" fontId="0" fillId="0" borderId="7" xfId="0" applyFont="1" applyFill="1" applyBorder="1" applyAlignment="1">
      <alignment horizontal="justify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9" fontId="30" fillId="0" borderId="2" xfId="0" applyNumberFormat="1" applyFont="1" applyFill="1" applyBorder="1" applyAlignment="1">
      <alignment horizontal="center" vertical="center" wrapText="1"/>
    </xf>
    <xf numFmtId="9" fontId="29" fillId="0" borderId="2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justify" vertical="center" wrapText="1"/>
    </xf>
    <xf numFmtId="0" fontId="0" fillId="0" borderId="12" xfId="0" applyFont="1" applyFill="1" applyBorder="1" applyAlignment="1">
      <alignment horizontal="right" vertical="center" wrapText="1"/>
    </xf>
    <xf numFmtId="0" fontId="0" fillId="0" borderId="10" xfId="0" applyFont="1" applyFill="1" applyBorder="1" applyAlignment="1">
      <alignment horizontal="right" vertical="center" wrapText="1"/>
    </xf>
    <xf numFmtId="0" fontId="0" fillId="0" borderId="6" xfId="0" applyFont="1" applyFill="1" applyBorder="1" applyAlignment="1">
      <alignment horizontal="justify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justify" vertical="center" wrapText="1"/>
    </xf>
    <xf numFmtId="0" fontId="0" fillId="0" borderId="15" xfId="0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horizontal="justify" vertical="center" wrapText="1"/>
    </xf>
    <xf numFmtId="0" fontId="0" fillId="0" borderId="10" xfId="0" applyFont="1" applyFill="1" applyBorder="1" applyAlignment="1">
      <alignment horizontal="justify" vertical="center" wrapText="1"/>
    </xf>
    <xf numFmtId="0" fontId="15" fillId="0" borderId="1" xfId="0" applyFont="1" applyFill="1" applyBorder="1" applyAlignment="1">
      <alignment horizontal="left" vertical="center"/>
    </xf>
    <xf numFmtId="0" fontId="31" fillId="0" borderId="2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right" vertical="center" wrapText="1" indent="2"/>
    </xf>
    <xf numFmtId="0" fontId="0" fillId="0" borderId="0" xfId="0" applyFont="1" applyFill="1" applyBorder="1" applyAlignment="1">
      <alignment horizontal="right" vertical="center" wrapText="1" indent="2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right" vertical="center" wrapText="1" indent="2"/>
    </xf>
    <xf numFmtId="0" fontId="0" fillId="0" borderId="1" xfId="0" applyFont="1" applyFill="1" applyBorder="1" applyAlignment="1">
      <alignment horizontal="right" vertical="center" wrapText="1" indent="2"/>
    </xf>
    <xf numFmtId="0" fontId="0" fillId="0" borderId="12" xfId="0" applyFont="1" applyFill="1" applyBorder="1" applyAlignment="1">
      <alignment horizontal="right" vertical="center" wrapText="1" indent="2"/>
    </xf>
    <xf numFmtId="0" fontId="0" fillId="0" borderId="10" xfId="0" applyFont="1" applyFill="1" applyBorder="1" applyAlignment="1">
      <alignment horizontal="right" vertical="center" wrapText="1" indent="2"/>
    </xf>
    <xf numFmtId="0" fontId="0" fillId="0" borderId="11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justify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 vertical="center" wrapText="1"/>
    </xf>
    <xf numFmtId="0" fontId="32" fillId="0" borderId="1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/>
    <xf numFmtId="0" fontId="34" fillId="0" borderId="9" xfId="0" applyFont="1" applyFill="1" applyBorder="1" applyAlignment="1">
      <alignment horizontal="right" vertical="center" wrapText="1" indent="2"/>
    </xf>
    <xf numFmtId="0" fontId="34" fillId="0" borderId="1" xfId="0" applyFont="1" applyFill="1" applyBorder="1" applyAlignment="1">
      <alignment horizontal="right" vertical="center" wrapText="1" indent="2"/>
    </xf>
    <xf numFmtId="0" fontId="34" fillId="0" borderId="10" xfId="0" applyFont="1" applyFill="1" applyBorder="1" applyAlignment="1">
      <alignment horizontal="right" vertical="center" wrapText="1" indent="2"/>
    </xf>
    <xf numFmtId="0" fontId="35" fillId="0" borderId="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justify" vertical="center" wrapText="1"/>
    </xf>
    <xf numFmtId="0" fontId="36" fillId="2" borderId="0" xfId="0" applyNumberFormat="1" applyFont="1" applyFill="1" applyBorder="1" applyAlignment="1" applyProtection="1"/>
    <xf numFmtId="0" fontId="37" fillId="2" borderId="0" xfId="0" applyNumberFormat="1" applyFont="1" applyFill="1" applyBorder="1" applyAlignment="1" applyProtection="1">
      <alignment horizontal="center" vertical="center" wrapText="1"/>
    </xf>
    <xf numFmtId="0" fontId="36" fillId="2" borderId="0" xfId="0" applyNumberFormat="1" applyFont="1" applyFill="1" applyBorder="1" applyAlignment="1" applyProtection="1">
      <alignment wrapText="1"/>
    </xf>
    <xf numFmtId="0" fontId="36" fillId="2" borderId="0" xfId="0" applyNumberFormat="1" applyFont="1" applyFill="1" applyBorder="1" applyAlignment="1" applyProtection="1">
      <alignment horizontal="center" vertical="center" wrapText="1"/>
    </xf>
    <xf numFmtId="0" fontId="36" fillId="2" borderId="0" xfId="0" applyNumberFormat="1" applyFont="1" applyFill="1" applyAlignment="1" applyProtection="1">
      <alignment horizontal="left" vertical="center" wrapText="1"/>
    </xf>
    <xf numFmtId="0" fontId="36" fillId="2" borderId="16" xfId="0" applyNumberFormat="1" applyFont="1" applyFill="1" applyBorder="1" applyAlignment="1" applyProtection="1"/>
    <xf numFmtId="0" fontId="36" fillId="2" borderId="17" xfId="0" applyNumberFormat="1" applyFont="1" applyFill="1" applyBorder="1" applyAlignment="1" applyProtection="1">
      <alignment horizontal="center" vertical="center" wrapText="1"/>
    </xf>
    <xf numFmtId="0" fontId="36" fillId="2" borderId="18" xfId="0" applyNumberFormat="1" applyFont="1" applyFill="1" applyBorder="1" applyAlignment="1" applyProtection="1">
      <alignment horizontal="center" vertical="center" wrapText="1"/>
    </xf>
    <xf numFmtId="0" fontId="36" fillId="2" borderId="19" xfId="0" applyNumberFormat="1" applyFont="1" applyFill="1" applyBorder="1" applyAlignment="1" applyProtection="1">
      <alignment horizontal="center" vertical="center" wrapText="1"/>
    </xf>
    <xf numFmtId="0" fontId="36" fillId="2" borderId="20" xfId="0" applyNumberFormat="1" applyFont="1" applyFill="1" applyBorder="1" applyAlignment="1" applyProtection="1">
      <alignment horizontal="center" vertical="center" wrapText="1"/>
    </xf>
    <xf numFmtId="0" fontId="36" fillId="2" borderId="21" xfId="0" applyNumberFormat="1" applyFont="1" applyFill="1" applyBorder="1" applyAlignment="1" applyProtection="1">
      <alignment horizontal="center" vertical="center" wrapText="1"/>
    </xf>
    <xf numFmtId="0" fontId="36" fillId="2" borderId="22" xfId="0" applyNumberFormat="1" applyFont="1" applyFill="1" applyBorder="1" applyAlignment="1" applyProtection="1">
      <alignment horizontal="center" vertical="center" wrapText="1"/>
    </xf>
    <xf numFmtId="0" fontId="36" fillId="2" borderId="23" xfId="0" applyNumberFormat="1" applyFont="1" applyFill="1" applyBorder="1" applyAlignment="1" applyProtection="1">
      <alignment horizontal="center" wrapText="1"/>
    </xf>
    <xf numFmtId="0" fontId="36" fillId="2" borderId="24" xfId="0" applyNumberFormat="1" applyFont="1" applyFill="1" applyBorder="1" applyAlignment="1" applyProtection="1">
      <alignment horizontal="center" wrapText="1"/>
    </xf>
    <xf numFmtId="0" fontId="36" fillId="2" borderId="25" xfId="0" applyNumberFormat="1" applyFont="1" applyFill="1" applyBorder="1" applyAlignment="1" applyProtection="1">
      <alignment horizontal="center" wrapText="1"/>
    </xf>
    <xf numFmtId="0" fontId="36" fillId="2" borderId="26" xfId="0" applyNumberFormat="1" applyFont="1" applyFill="1" applyBorder="1" applyAlignment="1" applyProtection="1">
      <alignment horizontal="center" wrapText="1"/>
    </xf>
    <xf numFmtId="0" fontId="36" fillId="2" borderId="27" xfId="0" applyNumberFormat="1" applyFont="1" applyFill="1" applyBorder="1" applyAlignment="1" applyProtection="1">
      <alignment horizontal="center"/>
    </xf>
    <xf numFmtId="0" fontId="36" fillId="2" borderId="28" xfId="0" applyNumberFormat="1" applyFont="1" applyFill="1" applyBorder="1" applyAlignment="1" applyProtection="1">
      <alignment horizontal="center" vertical="center" wrapText="1"/>
    </xf>
    <xf numFmtId="0" fontId="36" fillId="2" borderId="29" xfId="0" applyNumberFormat="1" applyFont="1" applyFill="1" applyBorder="1" applyAlignment="1" applyProtection="1">
      <alignment horizontal="center" vertical="center" wrapText="1"/>
    </xf>
    <xf numFmtId="0" fontId="36" fillId="2" borderId="23" xfId="0" applyNumberFormat="1" applyFont="1" applyFill="1" applyBorder="1" applyAlignment="1" applyProtection="1">
      <alignment horizontal="left" vertical="center" wrapText="1"/>
    </xf>
    <xf numFmtId="0" fontId="36" fillId="2" borderId="27" xfId="0" applyNumberFormat="1" applyFont="1" applyFill="1" applyBorder="1" applyAlignment="1" applyProtection="1">
      <alignment horizontal="left" vertical="center" wrapText="1"/>
    </xf>
    <xf numFmtId="0" fontId="36" fillId="2" borderId="29" xfId="0" applyNumberFormat="1" applyFont="1" applyFill="1" applyBorder="1" applyAlignment="1" applyProtection="1">
      <alignment vertical="center" wrapText="1"/>
    </xf>
    <xf numFmtId="0" fontId="36" fillId="2" borderId="24" xfId="0" applyNumberFormat="1" applyFont="1" applyFill="1" applyBorder="1" applyAlignment="1" applyProtection="1">
      <alignment horizontal="left" vertical="center" wrapText="1"/>
    </xf>
    <xf numFmtId="0" fontId="36" fillId="2" borderId="30" xfId="0" applyNumberFormat="1" applyFont="1" applyFill="1" applyBorder="1" applyAlignment="1" applyProtection="1">
      <alignment horizontal="left" vertical="center" wrapText="1"/>
    </xf>
    <xf numFmtId="0" fontId="36" fillId="2" borderId="31" xfId="0" applyNumberFormat="1" applyFont="1" applyFill="1" applyBorder="1" applyAlignment="1" applyProtection="1">
      <alignment horizontal="left" vertical="center" wrapText="1"/>
    </xf>
    <xf numFmtId="0" fontId="36" fillId="2" borderId="0" xfId="0" applyNumberFormat="1" applyFont="1" applyFill="1" applyBorder="1" applyAlignment="1" applyProtection="1">
      <alignment horizontal="left" vertical="center" wrapText="1"/>
    </xf>
    <xf numFmtId="0" fontId="36" fillId="2" borderId="32" xfId="0" applyNumberFormat="1" applyFont="1" applyFill="1" applyBorder="1" applyAlignment="1" applyProtection="1">
      <alignment horizontal="center" vertical="center" wrapText="1"/>
    </xf>
    <xf numFmtId="0" fontId="36" fillId="2" borderId="33" xfId="0" applyNumberFormat="1" applyFont="1" applyFill="1" applyBorder="1" applyAlignment="1" applyProtection="1">
      <alignment horizontal="center" vertical="center" wrapText="1"/>
    </xf>
    <xf numFmtId="0" fontId="36" fillId="2" borderId="34" xfId="0" applyNumberFormat="1" applyFont="1" applyFill="1" applyBorder="1" applyAlignment="1" applyProtection="1">
      <alignment horizontal="center" vertical="center" wrapText="1"/>
    </xf>
    <xf numFmtId="0" fontId="36" fillId="2" borderId="35" xfId="0" applyNumberFormat="1" applyFont="1" applyFill="1" applyBorder="1" applyAlignment="1" applyProtection="1">
      <alignment horizontal="center" vertical="center" wrapText="1"/>
    </xf>
    <xf numFmtId="0" fontId="36" fillId="2" borderId="36" xfId="0" applyNumberFormat="1" applyFont="1" applyFill="1" applyBorder="1" applyAlignment="1" applyProtection="1">
      <alignment horizontal="center" vertical="center" wrapText="1"/>
    </xf>
    <xf numFmtId="0" fontId="36" fillId="2" borderId="26" xfId="0" applyNumberFormat="1" applyFont="1" applyFill="1" applyBorder="1" applyAlignment="1" applyProtection="1">
      <alignment horizontal="center" vertical="center" wrapText="1"/>
    </xf>
    <xf numFmtId="0" fontId="36" fillId="2" borderId="36" xfId="0" applyNumberFormat="1" applyFont="1" applyFill="1" applyBorder="1" applyAlignment="1" applyProtection="1">
      <alignment horizontal="right" vertical="center" wrapText="1"/>
    </xf>
    <xf numFmtId="0" fontId="36" fillId="2" borderId="26" xfId="0" applyNumberFormat="1" applyFont="1" applyFill="1" applyBorder="1" applyAlignment="1" applyProtection="1">
      <alignment horizontal="right" vertical="center" wrapText="1"/>
    </xf>
    <xf numFmtId="0" fontId="36" fillId="2" borderId="27" xfId="0" applyNumberFormat="1" applyFont="1" applyFill="1" applyBorder="1" applyAlignment="1" applyProtection="1">
      <alignment horizontal="center" wrapText="1"/>
    </xf>
    <xf numFmtId="0" fontId="36" fillId="2" borderId="29" xfId="0" applyNumberFormat="1" applyFont="1" applyFill="1" applyBorder="1" applyAlignment="1" applyProtection="1">
      <alignment horizontal="left" vertical="center" wrapText="1"/>
    </xf>
    <xf numFmtId="0" fontId="36" fillId="2" borderId="37" xfId="0" applyNumberFormat="1" applyFont="1" applyFill="1" applyBorder="1" applyAlignment="1" applyProtection="1">
      <alignment horizontal="left" vertical="center" wrapText="1"/>
    </xf>
    <xf numFmtId="0" fontId="36" fillId="2" borderId="38" xfId="0" applyNumberFormat="1" applyFont="1" applyFill="1" applyBorder="1" applyAlignment="1" applyProtection="1">
      <alignment horizontal="left" vertical="center" wrapText="1"/>
    </xf>
    <xf numFmtId="49" fontId="36" fillId="2" borderId="33" xfId="0" applyNumberFormat="1" applyFont="1" applyFill="1" applyBorder="1" applyAlignment="1" applyProtection="1">
      <alignment horizontal="center" vertical="center" wrapText="1"/>
    </xf>
    <xf numFmtId="14" fontId="36" fillId="2" borderId="0" xfId="0" applyNumberFormat="1" applyFont="1" applyFill="1" applyBorder="1" applyAlignment="1" applyProtection="1">
      <alignment horizontal="left" vertical="center" wrapText="1"/>
    </xf>
    <xf numFmtId="0" fontId="36" fillId="2" borderId="39" xfId="0" applyNumberFormat="1" applyFont="1" applyFill="1" applyBorder="1" applyAlignment="1" applyProtection="1">
      <alignment horizontal="center" vertical="center" wrapText="1"/>
    </xf>
    <xf numFmtId="0" fontId="36" fillId="2" borderId="26" xfId="0" applyNumberFormat="1" applyFont="1" applyFill="1" applyBorder="1" applyAlignment="1" applyProtection="1">
      <alignment horizontal="left" vertical="center" wrapText="1"/>
    </xf>
    <xf numFmtId="0" fontId="38" fillId="2" borderId="20" xfId="0" applyNumberFormat="1" applyFont="1" applyFill="1" applyBorder="1" applyAlignment="1" applyProtection="1">
      <alignment horizontal="center" vertical="center" wrapText="1"/>
    </xf>
    <xf numFmtId="177" fontId="36" fillId="2" borderId="26" xfId="0" applyNumberFormat="1" applyFont="1" applyFill="1" applyBorder="1" applyAlignment="1" applyProtection="1">
      <alignment horizontal="center" wrapText="1"/>
    </xf>
    <xf numFmtId="0" fontId="36" fillId="2" borderId="24" xfId="0" applyNumberFormat="1" applyFont="1" applyFill="1" applyBorder="1" applyAlignment="1" applyProtection="1">
      <alignment horizontal="left" wrapText="1"/>
    </xf>
    <xf numFmtId="0" fontId="36" fillId="2" borderId="30" xfId="0" applyNumberFormat="1" applyFont="1" applyFill="1" applyBorder="1" applyAlignment="1" applyProtection="1">
      <alignment horizontal="left" wrapText="1"/>
    </xf>
    <xf numFmtId="0" fontId="36" fillId="2" borderId="25" xfId="0" applyNumberFormat="1" applyFont="1" applyFill="1" applyBorder="1" applyAlignment="1" applyProtection="1">
      <alignment horizontal="left" vertical="center" wrapText="1"/>
    </xf>
    <xf numFmtId="0" fontId="36" fillId="2" borderId="40" xfId="0" applyNumberFormat="1" applyFont="1" applyFill="1" applyBorder="1" applyAlignment="1" applyProtection="1">
      <alignment horizontal="center" vertical="center" wrapText="1"/>
    </xf>
    <xf numFmtId="0" fontId="36" fillId="2" borderId="41" xfId="0" applyNumberFormat="1" applyFont="1" applyFill="1" applyBorder="1" applyAlignment="1" applyProtection="1">
      <alignment horizontal="center" vertical="center" wrapText="1"/>
    </xf>
    <xf numFmtId="0" fontId="36" fillId="2" borderId="42" xfId="0" applyNumberFormat="1" applyFont="1" applyFill="1" applyBorder="1" applyAlignment="1" applyProtection="1">
      <alignment horizontal="center" vertical="center" wrapText="1"/>
    </xf>
    <xf numFmtId="49" fontId="36" fillId="2" borderId="36" xfId="0" applyNumberFormat="1" applyFont="1" applyFill="1" applyBorder="1" applyAlignment="1" applyProtection="1">
      <alignment horizontal="center" vertical="center" wrapText="1"/>
    </xf>
    <xf numFmtId="0" fontId="38" fillId="2" borderId="36" xfId="0" applyNumberFormat="1" applyFont="1" applyFill="1" applyBorder="1" applyAlignment="1" applyProtection="1">
      <alignment horizontal="center" vertical="center" wrapText="1"/>
    </xf>
    <xf numFmtId="0" fontId="38" fillId="2" borderId="26" xfId="0" applyNumberFormat="1" applyFont="1" applyFill="1" applyBorder="1" applyAlignment="1" applyProtection="1">
      <alignment horizontal="center" vertical="center" wrapText="1"/>
    </xf>
    <xf numFmtId="10" fontId="38" fillId="2" borderId="36" xfId="0" applyNumberFormat="1" applyFont="1" applyFill="1" applyBorder="1" applyAlignment="1" applyProtection="1">
      <alignment horizontal="center" vertical="center" wrapText="1"/>
    </xf>
    <xf numFmtId="10" fontId="38" fillId="2" borderId="26" xfId="0" applyNumberFormat="1" applyFont="1" applyFill="1" applyBorder="1" applyAlignment="1" applyProtection="1">
      <alignment horizontal="center" vertical="center" wrapText="1"/>
    </xf>
    <xf numFmtId="0" fontId="36" fillId="2" borderId="25" xfId="0" applyNumberFormat="1" applyFont="1" applyFill="1" applyBorder="1" applyAlignment="1" applyProtection="1">
      <alignment horizontal="left" wrapText="1"/>
    </xf>
    <xf numFmtId="0" fontId="36" fillId="2" borderId="27" xfId="0" applyNumberFormat="1" applyFont="1" applyFill="1" applyBorder="1" applyAlignment="1" applyProtection="1">
      <alignment horizontal="left" wrapText="1"/>
    </xf>
    <xf numFmtId="0" fontId="36" fillId="2" borderId="43" xfId="0" applyNumberFormat="1" applyFont="1" applyFill="1" applyBorder="1" applyAlignment="1" applyProtection="1">
      <alignment horizontal="center" vertical="center" wrapText="1"/>
    </xf>
    <xf numFmtId="0" fontId="36" fillId="2" borderId="44" xfId="0" applyNumberFormat="1" applyFont="1" applyFill="1" applyBorder="1" applyAlignment="1" applyProtection="1">
      <alignment horizontal="center" vertical="center" wrapText="1"/>
    </xf>
    <xf numFmtId="0" fontId="36" fillId="2" borderId="44" xfId="0" applyNumberFormat="1" applyFont="1" applyFill="1" applyBorder="1" applyAlignment="1" applyProtection="1">
      <alignment horizontal="left" vertical="center" wrapText="1"/>
    </xf>
    <xf numFmtId="0" fontId="38" fillId="2" borderId="44" xfId="0" applyNumberFormat="1" applyFont="1" applyFill="1" applyBorder="1" applyAlignment="1" applyProtection="1">
      <alignment horizontal="center" vertical="center" wrapText="1"/>
    </xf>
    <xf numFmtId="10" fontId="38" fillId="2" borderId="44" xfId="0" applyNumberFormat="1" applyFont="1" applyFill="1" applyBorder="1" applyAlignment="1" applyProtection="1">
      <alignment horizontal="center" vertical="center" wrapText="1"/>
    </xf>
    <xf numFmtId="0" fontId="36" fillId="2" borderId="45" xfId="0" applyNumberFormat="1" applyFont="1" applyFill="1" applyBorder="1" applyAlignment="1" applyProtection="1">
      <alignment horizontal="left" wrapText="1"/>
    </xf>
    <xf numFmtId="0" fontId="36" fillId="2" borderId="46" xfId="0" applyNumberFormat="1" applyFont="1" applyFill="1" applyBorder="1" applyAlignment="1" applyProtection="1">
      <alignment horizontal="center" vertical="center" wrapText="1"/>
    </xf>
    <xf numFmtId="0" fontId="36" fillId="2" borderId="45" xfId="0" applyNumberFormat="1" applyFont="1" applyFill="1" applyBorder="1" applyAlignment="1" applyProtection="1">
      <alignment horizontal="left" vertical="center" wrapText="1"/>
    </xf>
    <xf numFmtId="0" fontId="36" fillId="2" borderId="16" xfId="0" applyNumberFormat="1" applyFont="1" applyFill="1" applyBorder="1" applyAlignment="1" applyProtection="1">
      <alignment horizontal="center" vertical="center" wrapText="1"/>
    </xf>
    <xf numFmtId="0" fontId="36" fillId="2" borderId="47" xfId="0" applyNumberFormat="1" applyFont="1" applyFill="1" applyBorder="1" applyAlignment="1" applyProtection="1">
      <alignment horizontal="center" vertical="center" wrapText="1"/>
    </xf>
    <xf numFmtId="0" fontId="37" fillId="2" borderId="0" xfId="0" applyNumberFormat="1" applyFont="1" applyFill="1" applyBorder="1" applyAlignment="1" applyProtection="1">
      <alignment horizontal="center" wrapText="1"/>
    </xf>
    <xf numFmtId="0" fontId="39" fillId="2" borderId="29" xfId="0" applyNumberFormat="1" applyFont="1" applyFill="1" applyBorder="1" applyAlignment="1" applyProtection="1">
      <alignment horizontal="center" wrapText="1"/>
    </xf>
    <xf numFmtId="0" fontId="40" fillId="2" borderId="27" xfId="0" applyNumberFormat="1" applyFont="1" applyFill="1" applyBorder="1" applyAlignment="1" applyProtection="1">
      <alignment horizontal="center" vertical="center" wrapText="1"/>
    </xf>
    <xf numFmtId="0" fontId="36" fillId="2" borderId="0" xfId="0" applyNumberFormat="1" applyFont="1" applyFill="1" applyBorder="1" applyAlignment="1" applyProtection="1">
      <alignment horizontal="right" vertical="center" wrapText="1"/>
    </xf>
    <xf numFmtId="49" fontId="36" fillId="2" borderId="0" xfId="0" applyNumberFormat="1" applyFont="1" applyFill="1" applyBorder="1" applyAlignment="1" applyProtection="1">
      <alignment horizontal="right" vertical="center" wrapText="1"/>
    </xf>
    <xf numFmtId="0" fontId="36" fillId="2" borderId="48" xfId="0" applyNumberFormat="1" applyFont="1" applyFill="1" applyBorder="1" applyAlignment="1" applyProtection="1">
      <alignment horizontal="center" wrapText="1"/>
    </xf>
    <xf numFmtId="0" fontId="36" fillId="2" borderId="49" xfId="0" applyNumberFormat="1" applyFont="1" applyFill="1" applyBorder="1" applyAlignment="1" applyProtection="1">
      <alignment horizontal="center" wrapText="1"/>
    </xf>
    <xf numFmtId="0" fontId="36" fillId="2" borderId="50" xfId="0" applyNumberFormat="1" applyFont="1" applyFill="1" applyBorder="1" applyAlignment="1" applyProtection="1">
      <alignment horizontal="left" wrapText="1"/>
    </xf>
    <xf numFmtId="0" fontId="36" fillId="2" borderId="31" xfId="0" applyNumberFormat="1" applyFont="1" applyFill="1" applyBorder="1" applyAlignment="1" applyProtection="1">
      <alignment horizontal="center" wrapText="1"/>
    </xf>
    <xf numFmtId="0" fontId="36" fillId="2" borderId="0" xfId="0" applyNumberFormat="1" applyFont="1" applyFill="1" applyBorder="1" applyAlignment="1" applyProtection="1">
      <alignment horizontal="center" wrapText="1"/>
    </xf>
    <xf numFmtId="0" fontId="36" fillId="2" borderId="29" xfId="0" applyNumberFormat="1" applyFont="1" applyFill="1" applyBorder="1" applyAlignment="1" applyProtection="1">
      <alignment horizontal="right" wrapText="1"/>
    </xf>
    <xf numFmtId="49" fontId="36" fillId="2" borderId="31" xfId="0" applyNumberFormat="1" applyFont="1" applyFill="1" applyBorder="1" applyAlignment="1" applyProtection="1">
      <alignment horizontal="center" vertical="center" wrapText="1"/>
    </xf>
    <xf numFmtId="0" fontId="36" fillId="2" borderId="0" xfId="0" applyNumberFormat="1" applyFont="1" applyFill="1" applyBorder="1" applyAlignment="1" applyProtection="1">
      <alignment horizontal="left" wrapText="1"/>
    </xf>
    <xf numFmtId="49" fontId="36" fillId="2" borderId="0" xfId="0" applyNumberFormat="1" applyFont="1" applyFill="1" applyBorder="1" applyAlignment="1" applyProtection="1">
      <alignment horizontal="left" wrapText="1"/>
    </xf>
    <xf numFmtId="0" fontId="36" fillId="2" borderId="0" xfId="0" applyNumberFormat="1" applyFont="1" applyFill="1" applyBorder="1" applyAlignment="1" applyProtection="1">
      <alignment vertical="center" wrapText="1"/>
    </xf>
    <xf numFmtId="49" fontId="36" fillId="2" borderId="0" xfId="0" applyNumberFormat="1" applyFont="1" applyFill="1" applyBorder="1" applyAlignment="1" applyProtection="1">
      <alignment horizontal="center" vertical="center" wrapText="1"/>
    </xf>
    <xf numFmtId="49" fontId="36" fillId="2" borderId="51" xfId="0" applyNumberFormat="1" applyFont="1" applyFill="1" applyBorder="1" applyAlignment="1" applyProtection="1">
      <alignment horizontal="center" vertical="center" wrapText="1"/>
    </xf>
    <xf numFmtId="0" fontId="36" fillId="2" borderId="38" xfId="0" applyNumberFormat="1" applyFont="1" applyFill="1" applyBorder="1" applyAlignment="1" applyProtection="1">
      <alignment horizontal="center" vertical="center" wrapText="1"/>
    </xf>
    <xf numFmtId="49" fontId="36" fillId="2" borderId="38" xfId="0" applyNumberFormat="1" applyFont="1" applyFill="1" applyBorder="1" applyAlignment="1" applyProtection="1">
      <alignment horizontal="center" vertical="center" wrapText="1"/>
    </xf>
    <xf numFmtId="49" fontId="36" fillId="2" borderId="31" xfId="0" applyNumberFormat="1" applyFont="1" applyFill="1" applyBorder="1" applyAlignment="1" applyProtection="1">
      <alignment horizontal="left" vertical="center" wrapText="1"/>
    </xf>
    <xf numFmtId="49" fontId="36" fillId="2" borderId="28" xfId="0" applyNumberFormat="1" applyFont="1" applyFill="1" applyBorder="1" applyAlignment="1" applyProtection="1">
      <alignment horizontal="left" vertical="center" wrapText="1"/>
    </xf>
    <xf numFmtId="0" fontId="36" fillId="2" borderId="37" xfId="0" applyNumberFormat="1" applyFont="1" applyFill="1" applyBorder="1" applyAlignment="1" applyProtection="1">
      <alignment horizontal="center" vertical="center" wrapText="1"/>
    </xf>
    <xf numFmtId="49" fontId="36" fillId="2" borderId="37" xfId="0" applyNumberFormat="1" applyFont="1" applyFill="1" applyBorder="1" applyAlignment="1" applyProtection="1">
      <alignment horizontal="center" vertical="center" wrapText="1"/>
    </xf>
    <xf numFmtId="49" fontId="36" fillId="2" borderId="52" xfId="0" applyNumberFormat="1" applyFont="1" applyFill="1" applyBorder="1" applyAlignment="1" applyProtection="1">
      <alignment horizontal="center" vertical="center" wrapText="1"/>
    </xf>
    <xf numFmtId="49" fontId="36" fillId="2" borderId="41" xfId="0" applyNumberFormat="1" applyFont="1" applyFill="1" applyBorder="1" applyAlignment="1" applyProtection="1">
      <alignment horizontal="center" vertical="center" wrapText="1"/>
    </xf>
    <xf numFmtId="0" fontId="36" fillId="2" borderId="33" xfId="0" applyNumberFormat="1" applyFont="1" applyFill="1" applyBorder="1" applyAlignment="1" applyProtection="1">
      <alignment horizontal="left" vertical="center" wrapText="1"/>
    </xf>
    <xf numFmtId="0" fontId="36" fillId="2" borderId="35" xfId="0" applyNumberFormat="1" applyFont="1" applyFill="1" applyBorder="1" applyAlignment="1" applyProtection="1">
      <alignment horizontal="center" wrapText="1"/>
    </xf>
    <xf numFmtId="0" fontId="36" fillId="2" borderId="29" xfId="0" applyNumberFormat="1" applyFont="1" applyFill="1" applyBorder="1" applyAlignment="1" applyProtection="1">
      <alignment horizontal="center" wrapText="1"/>
    </xf>
    <xf numFmtId="0" fontId="36" fillId="2" borderId="0" xfId="0" applyNumberFormat="1" applyFont="1" applyFill="1" applyBorder="1" applyAlignment="1" applyProtection="1">
      <alignment horizontal="left"/>
    </xf>
    <xf numFmtId="0" fontId="36" fillId="2" borderId="37" xfId="0" applyNumberFormat="1" applyFont="1" applyFill="1" applyBorder="1" applyAlignment="1" applyProtection="1">
      <alignment horizontal="left" wrapText="1"/>
    </xf>
    <xf numFmtId="0" fontId="36" fillId="2" borderId="38" xfId="0" applyNumberFormat="1" applyFont="1" applyFill="1" applyBorder="1" applyAlignment="1" applyProtection="1">
      <alignment horizontal="left" wrapText="1"/>
    </xf>
    <xf numFmtId="49" fontId="36" fillId="2" borderId="38" xfId="0" applyNumberFormat="1" applyFont="1" applyFill="1" applyBorder="1" applyAlignment="1" applyProtection="1">
      <alignment horizontal="left" wrapText="1"/>
    </xf>
    <xf numFmtId="0" fontId="36" fillId="2" borderId="30" xfId="0" applyNumberFormat="1" applyFont="1" applyFill="1" applyBorder="1" applyAlignment="1" applyProtection="1">
      <alignment horizontal="center" vertical="center" wrapText="1"/>
    </xf>
    <xf numFmtId="49" fontId="36" fillId="2" borderId="0" xfId="0" applyNumberFormat="1" applyFont="1" applyFill="1" applyBorder="1" applyAlignment="1" applyProtection="1">
      <alignment horizontal="left" vertical="center" wrapText="1"/>
    </xf>
    <xf numFmtId="49" fontId="36" fillId="2" borderId="29" xfId="0" applyNumberFormat="1" applyFont="1" applyFill="1" applyBorder="1" applyAlignment="1" applyProtection="1">
      <alignment horizontal="left" vertical="center" wrapText="1"/>
    </xf>
    <xf numFmtId="0" fontId="36" fillId="2" borderId="0" xfId="0" applyNumberFormat="1" applyFont="1" applyFill="1" applyBorder="1" applyAlignment="1" applyProtection="1">
      <alignment horizontal="left" vertical="center"/>
    </xf>
    <xf numFmtId="0" fontId="41" fillId="2" borderId="0" xfId="0" applyNumberFormat="1" applyFont="1" applyFill="1" applyBorder="1" applyAlignment="1" applyProtection="1">
      <alignment horizontal="left" wrapText="1"/>
    </xf>
    <xf numFmtId="0" fontId="39" fillId="2" borderId="0" xfId="0" applyNumberFormat="1" applyFont="1" applyFill="1" applyBorder="1" applyAlignment="1" applyProtection="1">
      <alignment horizontal="left" wrapText="1"/>
    </xf>
    <xf numFmtId="0" fontId="40" fillId="2" borderId="0" xfId="0" applyNumberFormat="1" applyFont="1" applyFill="1" applyBorder="1" applyAlignment="1" applyProtection="1">
      <alignment horizontal="center" vertical="center" wrapText="1"/>
    </xf>
    <xf numFmtId="0" fontId="36" fillId="2" borderId="29" xfId="0" applyNumberFormat="1" applyFont="1" applyFill="1" applyBorder="1" applyAlignment="1" applyProtection="1">
      <alignment horizontal="left" wrapText="1"/>
    </xf>
    <xf numFmtId="0" fontId="36" fillId="2" borderId="26" xfId="0" applyNumberFormat="1" applyFont="1" applyFill="1" applyBorder="1" applyAlignment="1" applyProtection="1">
      <alignment horizontal="left" wrapText="1"/>
    </xf>
    <xf numFmtId="49" fontId="36" fillId="2" borderId="29" xfId="0" applyNumberFormat="1" applyFont="1" applyFill="1" applyBorder="1" applyAlignment="1" applyProtection="1">
      <alignment horizontal="center" vertical="center" wrapText="1"/>
    </xf>
    <xf numFmtId="0" fontId="36" fillId="2" borderId="0" xfId="0" applyNumberFormat="1" applyFont="1" applyFill="1" applyBorder="1" applyAlignment="1" applyProtection="1">
      <alignment horizontal="center" vertical="center"/>
    </xf>
    <xf numFmtId="0" fontId="36" fillId="2" borderId="53" xfId="0" applyNumberFormat="1" applyFont="1" applyFill="1" applyBorder="1" applyAlignment="1" applyProtection="1"/>
    <xf numFmtId="0" fontId="36" fillId="2" borderId="49" xfId="0" applyNumberFormat="1" applyFont="1" applyFill="1" applyBorder="1" applyAlignment="1" applyProtection="1">
      <alignment horizontal="left" wrapText="1"/>
    </xf>
    <xf numFmtId="0" fontId="36" fillId="2" borderId="49" xfId="0" applyNumberFormat="1" applyFont="1" applyFill="1" applyBorder="1" applyAlignment="1" applyProtection="1">
      <alignment horizontal="center"/>
    </xf>
    <xf numFmtId="0" fontId="42" fillId="2" borderId="0" xfId="0" applyNumberFormat="1" applyFont="1" applyFill="1" applyBorder="1" applyAlignment="1" applyProtection="1"/>
    <xf numFmtId="0" fontId="43" fillId="2" borderId="33" xfId="0" applyNumberFormat="1" applyFont="1" applyFill="1" applyBorder="1" applyAlignment="1" applyProtection="1">
      <alignment horizontal="center" vertical="center" wrapText="1"/>
    </xf>
    <xf numFmtId="0" fontId="43" fillId="2" borderId="54" xfId="0" applyNumberFormat="1" applyFont="1" applyFill="1" applyBorder="1" applyAlignment="1" applyProtection="1">
      <alignment horizontal="left" wrapText="1"/>
    </xf>
    <xf numFmtId="0" fontId="36" fillId="2" borderId="31" xfId="0" applyNumberFormat="1" applyFont="1" applyFill="1" applyBorder="1" applyAlignment="1" applyProtection="1">
      <alignment horizontal="center" vertical="center" wrapText="1"/>
    </xf>
    <xf numFmtId="0" fontId="43" fillId="2" borderId="16" xfId="0" applyNumberFormat="1" applyFont="1" applyFill="1" applyBorder="1" applyAlignment="1" applyProtection="1">
      <alignment horizontal="left"/>
    </xf>
    <xf numFmtId="0" fontId="36" fillId="2" borderId="55" xfId="0" applyNumberFormat="1" applyFont="1" applyFill="1" applyBorder="1" applyAlignment="1" applyProtection="1">
      <alignment horizontal="left" wrapText="1"/>
    </xf>
    <xf numFmtId="0" fontId="36" fillId="2" borderId="16" xfId="0" applyNumberFormat="1" applyFont="1" applyFill="1" applyBorder="1" applyAlignment="1" applyProtection="1">
      <alignment horizontal="left" wrapText="1"/>
    </xf>
    <xf numFmtId="0" fontId="36" fillId="2" borderId="55" xfId="0" applyNumberFormat="1" applyFont="1" applyFill="1" applyBorder="1" applyAlignment="1" applyProtection="1">
      <alignment horizontal="center" vertical="center" wrapText="1"/>
    </xf>
    <xf numFmtId="0" fontId="36" fillId="2" borderId="16" xfId="0" applyNumberFormat="1" applyFont="1" applyFill="1" applyBorder="1" applyAlignment="1" applyProtection="1">
      <alignment horizontal="left" vertical="center" wrapText="1"/>
    </xf>
    <xf numFmtId="0" fontId="36" fillId="2" borderId="16" xfId="0" applyNumberFormat="1" applyFont="1" applyFill="1" applyBorder="1" applyAlignment="1" applyProtection="1">
      <alignment horizontal="left"/>
    </xf>
    <xf numFmtId="0" fontId="36" fillId="2" borderId="35" xfId="0" applyNumberFormat="1" applyFont="1" applyFill="1" applyBorder="1" applyAlignment="1" applyProtection="1"/>
    <xf numFmtId="0" fontId="37" fillId="2" borderId="0" xfId="0" applyNumberFormat="1" applyFont="1" applyFill="1" applyAlignment="1" applyProtection="1">
      <alignment vertical="center" wrapText="1"/>
    </xf>
    <xf numFmtId="0" fontId="36" fillId="2" borderId="0" xfId="0" applyNumberFormat="1" applyFont="1" applyFill="1" applyAlignment="1" applyProtection="1">
      <alignment horizontal="center" vertical="center" wrapText="1"/>
    </xf>
    <xf numFmtId="0" fontId="37" fillId="2" borderId="0" xfId="0" applyNumberFormat="1" applyFont="1" applyFill="1" applyAlignment="1" applyProtection="1">
      <alignment horizontal="right" vertical="center" wrapText="1"/>
    </xf>
    <xf numFmtId="0" fontId="36" fillId="2" borderId="20" xfId="0" applyNumberFormat="1" applyFont="1" applyFill="1" applyBorder="1" applyAlignment="1" applyProtection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36" fillId="2" borderId="0" xfId="0" applyNumberFormat="1" applyFont="1" applyFill="1" applyAlignment="1" applyProtection="1">
      <alignment wrapText="1"/>
    </xf>
    <xf numFmtId="0" fontId="39" fillId="2" borderId="29" xfId="0" applyNumberFormat="1" applyFont="1" applyFill="1" applyBorder="1" applyAlignment="1" applyProtection="1">
      <alignment wrapText="1"/>
    </xf>
    <xf numFmtId="0" fontId="45" fillId="2" borderId="0" xfId="0" applyNumberFormat="1" applyFont="1" applyFill="1" applyAlignment="1" applyProtection="1">
      <alignment horizontal="center" wrapText="1"/>
    </xf>
    <xf numFmtId="0" fontId="36" fillId="2" borderId="27" xfId="0" applyNumberFormat="1" applyFont="1" applyFill="1" applyBorder="1" applyAlignment="1" applyProtection="1">
      <alignment horizontal="center" vertical="center" wrapText="1"/>
    </xf>
    <xf numFmtId="0" fontId="46" fillId="2" borderId="0" xfId="0" applyNumberFormat="1" applyFont="1" applyFill="1" applyBorder="1" applyAlignment="1" applyProtection="1">
      <alignment horizontal="center" vertical="center" wrapText="1"/>
    </xf>
    <xf numFmtId="0" fontId="47" fillId="2" borderId="0" xfId="0" applyNumberFormat="1" applyFont="1" applyFill="1" applyBorder="1" applyAlignment="1" applyProtection="1">
      <alignment horizontal="center" vertical="center" wrapText="1"/>
    </xf>
    <xf numFmtId="0" fontId="46" fillId="2" borderId="33" xfId="0" applyNumberFormat="1" applyFont="1" applyFill="1" applyBorder="1" applyAlignment="1" applyProtection="1">
      <alignment horizontal="center" vertical="center" wrapText="1"/>
    </xf>
    <xf numFmtId="0" fontId="47" fillId="2" borderId="33" xfId="0" applyNumberFormat="1" applyFont="1" applyFill="1" applyBorder="1" applyAlignment="1" applyProtection="1">
      <alignment horizontal="center" vertical="center" wrapText="1"/>
    </xf>
    <xf numFmtId="0" fontId="38" fillId="2" borderId="20" xfId="0" applyNumberFormat="1" applyFont="1" applyFill="1" applyBorder="1" applyAlignment="1" applyProtection="1">
      <alignment horizontal="left" vertical="center" wrapText="1"/>
    </xf>
    <xf numFmtId="0" fontId="38" fillId="2" borderId="27" xfId="0" applyNumberFormat="1" applyFont="1" applyFill="1" applyBorder="1" applyAlignment="1" applyProtection="1">
      <alignment horizontal="center" wrapText="1"/>
    </xf>
    <xf numFmtId="0" fontId="36" fillId="2" borderId="40" xfId="0" applyNumberFormat="1" applyFont="1" applyFill="1" applyBorder="1" applyAlignment="1" applyProtection="1">
      <alignment horizontal="center" wrapText="1"/>
    </xf>
    <xf numFmtId="0" fontId="38" fillId="2" borderId="0" xfId="0" applyNumberFormat="1" applyFont="1" applyFill="1" applyBorder="1" applyAlignment="1" applyProtection="1">
      <alignment horizontal="center" wrapText="1"/>
    </xf>
    <xf numFmtId="0" fontId="38" fillId="2" borderId="0" xfId="0" applyNumberFormat="1" applyFont="1" applyFill="1" applyBorder="1" applyAlignment="1" applyProtection="1">
      <alignment horizontal="center" vertical="center" wrapText="1"/>
    </xf>
    <xf numFmtId="0" fontId="36" fillId="2" borderId="56" xfId="0" applyNumberFormat="1" applyFont="1" applyFill="1" applyBorder="1" applyAlignment="1" applyProtection="1">
      <alignment horizontal="right" vertical="center" wrapText="1"/>
    </xf>
    <xf numFmtId="0" fontId="36" fillId="2" borderId="40" xfId="0" applyNumberFormat="1" applyFont="1" applyFill="1" applyBorder="1" applyAlignment="1" applyProtection="1">
      <alignment horizontal="right" wrapText="1"/>
    </xf>
    <xf numFmtId="0" fontId="38" fillId="2" borderId="0" xfId="0" applyNumberFormat="1" applyFont="1" applyFill="1" applyBorder="1" applyAlignment="1" applyProtection="1">
      <alignment horizontal="right" wrapText="1"/>
    </xf>
    <xf numFmtId="0" fontId="36" fillId="2" borderId="57" xfId="0" applyNumberFormat="1" applyFont="1" applyFill="1" applyBorder="1" applyAlignment="1" applyProtection="1">
      <alignment horizontal="center" vertical="center" wrapText="1"/>
    </xf>
    <xf numFmtId="0" fontId="36" fillId="2" borderId="58" xfId="0" applyNumberFormat="1" applyFont="1" applyFill="1" applyBorder="1" applyAlignment="1" applyProtection="1">
      <alignment horizontal="center" vertical="center" wrapText="1"/>
    </xf>
    <xf numFmtId="0" fontId="36" fillId="2" borderId="42" xfId="0" applyNumberFormat="1" applyFont="1" applyFill="1" applyBorder="1" applyAlignment="1" applyProtection="1">
      <alignment horizontal="right" vertical="center" wrapText="1"/>
    </xf>
    <xf numFmtId="0" fontId="48" fillId="2" borderId="29" xfId="0" applyNumberFormat="1" applyFont="1" applyFill="1" applyBorder="1" applyAlignment="1" applyProtection="1">
      <alignment horizontal="center" wrapText="1"/>
    </xf>
    <xf numFmtId="0" fontId="49" fillId="2" borderId="33" xfId="0" applyNumberFormat="1" applyFont="1" applyFill="1" applyBorder="1" applyAlignment="1" applyProtection="1">
      <alignment horizontal="center" vertical="center" wrapText="1"/>
    </xf>
    <xf numFmtId="0" fontId="9" fillId="2" borderId="18" xfId="0" applyNumberFormat="1" applyFont="1" applyFill="1" applyBorder="1" applyAlignment="1" applyProtection="1">
      <alignment horizontal="center" vertical="center" wrapText="1"/>
    </xf>
    <xf numFmtId="0" fontId="9" fillId="2" borderId="20" xfId="0" applyNumberFormat="1" applyFont="1" applyFill="1" applyBorder="1" applyAlignment="1" applyProtection="1">
      <alignment horizontal="center" vertical="center" wrapText="1"/>
    </xf>
    <xf numFmtId="0" fontId="9" fillId="2" borderId="36" xfId="0" applyNumberFormat="1" applyFont="1" applyFill="1" applyBorder="1" applyAlignment="1" applyProtection="1">
      <alignment horizontal="center" vertical="center" wrapText="1"/>
    </xf>
    <xf numFmtId="0" fontId="9" fillId="2" borderId="26" xfId="0" applyNumberFormat="1" applyFont="1" applyFill="1" applyBorder="1" applyAlignment="1" applyProtection="1">
      <alignment horizontal="center" vertical="center" wrapText="1"/>
    </xf>
    <xf numFmtId="0" fontId="50" fillId="2" borderId="20" xfId="0" applyNumberFormat="1" applyFont="1" applyFill="1" applyBorder="1" applyAlignment="1" applyProtection="1">
      <alignment horizontal="left" vertical="center" wrapText="1"/>
    </xf>
    <xf numFmtId="0" fontId="38" fillId="2" borderId="36" xfId="0" applyNumberFormat="1" applyFont="1" applyFill="1" applyBorder="1" applyAlignment="1" applyProtection="1">
      <alignment horizontal="left" vertical="center" wrapText="1"/>
    </xf>
    <xf numFmtId="0" fontId="51" fillId="2" borderId="29" xfId="0" applyNumberFormat="1" applyFont="1" applyFill="1" applyBorder="1" applyAlignment="1" applyProtection="1">
      <alignment horizontal="center" wrapText="1"/>
    </xf>
    <xf numFmtId="0" fontId="51" fillId="2" borderId="26" xfId="0" applyNumberFormat="1" applyFont="1" applyFill="1" applyBorder="1" applyAlignment="1" applyProtection="1">
      <alignment horizontal="center" wrapText="1"/>
    </xf>
    <xf numFmtId="0" fontId="38" fillId="2" borderId="27" xfId="0" applyNumberFormat="1" applyFont="1" applyFill="1" applyBorder="1" applyAlignment="1" applyProtection="1">
      <alignment horizontal="center" vertical="center" wrapText="1"/>
    </xf>
    <xf numFmtId="0" fontId="38" fillId="2" borderId="29" xfId="0" applyNumberFormat="1" applyFont="1" applyFill="1" applyBorder="1" applyAlignment="1" applyProtection="1">
      <alignment horizontal="center" wrapText="1"/>
    </xf>
    <xf numFmtId="0" fontId="38" fillId="2" borderId="26" xfId="0" applyNumberFormat="1" applyFont="1" applyFill="1" applyBorder="1" applyAlignment="1" applyProtection="1">
      <alignment horizontal="center" wrapText="1"/>
    </xf>
    <xf numFmtId="0" fontId="9" fillId="2" borderId="22" xfId="0" applyNumberFormat="1" applyFont="1" applyFill="1" applyBorder="1" applyAlignment="1" applyProtection="1">
      <alignment horizontal="center" vertical="center" wrapText="1"/>
    </xf>
    <xf numFmtId="0" fontId="38" fillId="2" borderId="22" xfId="0" applyNumberFormat="1" applyFont="1" applyFill="1" applyBorder="1" applyAlignment="1" applyProtection="1">
      <alignment horizontal="center" vertical="center" wrapText="1"/>
    </xf>
    <xf numFmtId="0" fontId="52" fillId="2" borderId="20" xfId="0" applyNumberFormat="1" applyFont="1" applyFill="1" applyBorder="1" applyAlignment="1" applyProtection="1">
      <alignment horizontal="center" vertical="center" wrapText="1"/>
    </xf>
    <xf numFmtId="0" fontId="51" fillId="2" borderId="26" xfId="0" applyNumberFormat="1" applyFont="1" applyFill="1" applyBorder="1" applyAlignment="1" applyProtection="1">
      <alignment horizontal="center" vertical="center" wrapText="1"/>
    </xf>
    <xf numFmtId="0" fontId="51" fillId="2" borderId="22" xfId="0" applyNumberFormat="1" applyFont="1" applyFill="1" applyBorder="1" applyAlignment="1" applyProtection="1">
      <alignment horizontal="center" vertical="center" wrapText="1"/>
    </xf>
    <xf numFmtId="0" fontId="51" fillId="2" borderId="20" xfId="0" applyNumberFormat="1" applyFont="1" applyFill="1" applyBorder="1" applyAlignment="1" applyProtection="1">
      <alignment horizontal="center" vertical="center" wrapText="1"/>
    </xf>
    <xf numFmtId="0" fontId="38" fillId="2" borderId="0" xfId="0" applyNumberFormat="1" applyFont="1" applyFill="1" applyBorder="1" applyAlignment="1" applyProtection="1">
      <alignment horizontal="left" wrapText="1"/>
    </xf>
    <xf numFmtId="0" fontId="38" fillId="2" borderId="29" xfId="0" applyNumberFormat="1" applyFont="1" applyFill="1" applyBorder="1" applyAlignment="1" applyProtection="1">
      <alignment horizontal="center" vertical="center" wrapText="1"/>
    </xf>
    <xf numFmtId="0" fontId="38" fillId="2" borderId="33" xfId="0" applyNumberFormat="1" applyFont="1" applyFill="1" applyBorder="1" applyAlignment="1" applyProtection="1">
      <alignment horizontal="center" vertical="center" wrapText="1"/>
    </xf>
    <xf numFmtId="0" fontId="38" fillId="2" borderId="18" xfId="0" applyNumberFormat="1" applyFont="1" applyFill="1" applyBorder="1" applyAlignment="1" applyProtection="1">
      <alignment horizontal="center" vertical="center" wrapText="1"/>
    </xf>
    <xf numFmtId="49" fontId="38" fillId="2" borderId="20" xfId="0" applyNumberFormat="1" applyFont="1" applyFill="1" applyBorder="1" applyAlignment="1" applyProtection="1">
      <alignment horizontal="center" vertical="center" wrapText="1"/>
    </xf>
    <xf numFmtId="0" fontId="38" fillId="2" borderId="0" xfId="0" applyNumberFormat="1" applyFont="1" applyFill="1" applyBorder="1" applyAlignment="1" applyProtection="1">
      <alignment horizontal="center"/>
    </xf>
    <xf numFmtId="0" fontId="46" fillId="2" borderId="0" xfId="0" applyNumberFormat="1" applyFont="1" applyFill="1" applyBorder="1" applyAlignment="1" applyProtection="1">
      <alignment horizontal="left" wrapText="1"/>
    </xf>
    <xf numFmtId="0" fontId="47" fillId="2" borderId="0" xfId="0" applyNumberFormat="1" applyFont="1" applyFill="1" applyBorder="1" applyAlignment="1" applyProtection="1">
      <alignment horizontal="left" wrapText="1"/>
    </xf>
    <xf numFmtId="0" fontId="46" fillId="2" borderId="0" xfId="0" applyNumberFormat="1" applyFont="1" applyFill="1" applyBorder="1" applyAlignment="1" applyProtection="1">
      <alignment horizontal="left" vertical="center" wrapText="1"/>
    </xf>
    <xf numFmtId="0" fontId="47" fillId="2" borderId="0" xfId="0" applyNumberFormat="1" applyFont="1" applyFill="1" applyBorder="1" applyAlignment="1" applyProtection="1">
      <alignment horizontal="left" vertical="center" wrapText="1"/>
    </xf>
    <xf numFmtId="49" fontId="38" fillId="2" borderId="26" xfId="0" applyNumberFormat="1" applyFont="1" applyFill="1" applyBorder="1" applyAlignment="1" applyProtection="1">
      <alignment horizontal="center" vertical="center" wrapText="1"/>
    </xf>
    <xf numFmtId="177" fontId="51" fillId="2" borderId="26" xfId="0" applyNumberFormat="1" applyFont="1" applyFill="1" applyBorder="1" applyAlignment="1" applyProtection="1">
      <alignment horizontal="center" wrapText="1"/>
    </xf>
    <xf numFmtId="0" fontId="38" fillId="2" borderId="27" xfId="0" applyNumberFormat="1" applyFont="1" applyFill="1" applyBorder="1" applyAlignment="1" applyProtection="1">
      <alignment horizontal="left" wrapText="1"/>
    </xf>
    <xf numFmtId="49" fontId="38" fillId="2" borderId="29" xfId="0" applyNumberFormat="1" applyFont="1" applyFill="1" applyBorder="1" applyAlignment="1" applyProtection="1">
      <alignment horizontal="center" vertical="center" wrapText="1"/>
    </xf>
    <xf numFmtId="177" fontId="38" fillId="2" borderId="0" xfId="0" applyNumberFormat="1" applyFont="1" applyFill="1" applyBorder="1" applyAlignment="1" applyProtection="1">
      <alignment horizontal="right" wrapText="1"/>
    </xf>
    <xf numFmtId="0" fontId="38" fillId="2" borderId="0" xfId="0" applyNumberFormat="1" applyFont="1" applyFill="1" applyBorder="1" applyAlignment="1" applyProtection="1"/>
    <xf numFmtId="177" fontId="38" fillId="2" borderId="29" xfId="0" applyNumberFormat="1" applyFont="1" applyFill="1" applyBorder="1" applyAlignment="1" applyProtection="1">
      <alignment horizontal="center" wrapText="1"/>
    </xf>
    <xf numFmtId="49" fontId="38" fillId="2" borderId="33" xfId="0" applyNumberFormat="1" applyFont="1" applyFill="1" applyBorder="1" applyAlignment="1" applyProtection="1">
      <alignment horizontal="center" vertical="center" wrapText="1"/>
    </xf>
    <xf numFmtId="0" fontId="6" fillId="2" borderId="33" xfId="0" applyNumberFormat="1" applyFont="1" applyFill="1" applyBorder="1" applyAlignment="1" applyProtection="1">
      <alignment horizontal="center" vertical="center" wrapText="1"/>
    </xf>
    <xf numFmtId="0" fontId="38" fillId="2" borderId="59" xfId="0" applyNumberFormat="1" applyFont="1" applyFill="1" applyBorder="1" applyAlignment="1" applyProtection="1">
      <alignment horizontal="center" vertical="center" wrapText="1"/>
    </xf>
    <xf numFmtId="0" fontId="38" fillId="2" borderId="60" xfId="0" applyNumberFormat="1" applyFont="1" applyFill="1" applyBorder="1" applyAlignment="1" applyProtection="1">
      <alignment horizontal="center" vertical="center" wrapText="1"/>
    </xf>
    <xf numFmtId="0" fontId="36" fillId="2" borderId="60" xfId="0" applyNumberFormat="1" applyFont="1" applyFill="1" applyBorder="1" applyAlignment="1" applyProtection="1">
      <alignment horizontal="center" vertical="center" wrapText="1"/>
    </xf>
    <xf numFmtId="9" fontId="53" fillId="2" borderId="20" xfId="3" applyNumberFormat="1" applyFont="1" applyFill="1" applyBorder="1" applyAlignment="1" applyProtection="1">
      <alignment horizontal="center" vertical="center" wrapText="1"/>
    </xf>
    <xf numFmtId="9" fontId="53" fillId="2" borderId="20" xfId="3" applyFont="1" applyFill="1" applyBorder="1" applyAlignment="1" applyProtection="1">
      <alignment horizontal="center" vertical="center" wrapText="1"/>
    </xf>
    <xf numFmtId="9" fontId="53" fillId="2" borderId="60" xfId="3" applyFont="1" applyFill="1" applyBorder="1" applyAlignment="1" applyProtection="1">
      <alignment horizontal="center" vertical="center" wrapText="1"/>
    </xf>
    <xf numFmtId="9" fontId="8" fillId="2" borderId="20" xfId="3" applyNumberFormat="1" applyFont="1" applyFill="1" applyBorder="1" applyAlignment="1" applyProtection="1">
      <alignment horizontal="center" vertical="center" wrapText="1"/>
    </xf>
    <xf numFmtId="9" fontId="8" fillId="2" borderId="20" xfId="3" applyFont="1" applyFill="1" applyBorder="1" applyAlignment="1" applyProtection="1">
      <alignment horizontal="center" vertical="center" wrapText="1"/>
    </xf>
    <xf numFmtId="9" fontId="8" fillId="2" borderId="60" xfId="3" applyFont="1" applyFill="1" applyBorder="1" applyAlignment="1" applyProtection="1">
      <alignment horizontal="center" vertical="center" wrapText="1"/>
    </xf>
    <xf numFmtId="0" fontId="38" fillId="2" borderId="45" xfId="0" applyNumberFormat="1" applyFont="1" applyFill="1" applyBorder="1" applyAlignment="1" applyProtection="1">
      <alignment horizontal="left" wrapText="1"/>
    </xf>
    <xf numFmtId="0" fontId="38" fillId="2" borderId="16" xfId="0" applyNumberFormat="1" applyFont="1" applyFill="1" applyBorder="1" applyAlignment="1" applyProtection="1">
      <alignment horizontal="left" wrapText="1"/>
    </xf>
    <xf numFmtId="0" fontId="38" fillId="2" borderId="16" xfId="0" applyNumberFormat="1" applyFont="1" applyFill="1" applyBorder="1" applyAlignment="1" applyProtection="1">
      <alignment horizontal="center" vertical="center" wrapText="1"/>
    </xf>
    <xf numFmtId="0" fontId="38" fillId="2" borderId="46" xfId="0" applyNumberFormat="1" applyFont="1" applyFill="1" applyBorder="1" applyAlignment="1" applyProtection="1">
      <alignment horizontal="center" vertical="center" wrapText="1"/>
    </xf>
    <xf numFmtId="0" fontId="38" fillId="2" borderId="16" xfId="0" applyNumberFormat="1" applyFont="1" applyFill="1" applyBorder="1" applyAlignment="1" applyProtection="1">
      <alignment horizontal="center" wrapText="1"/>
    </xf>
    <xf numFmtId="0" fontId="38" fillId="2" borderId="47" xfId="0" applyNumberFormat="1" applyFont="1" applyFill="1" applyBorder="1" applyAlignment="1" applyProtection="1">
      <alignment horizontal="center" vertical="center" wrapText="1"/>
    </xf>
    <xf numFmtId="0" fontId="54" fillId="2" borderId="0" xfId="0" applyNumberFormat="1" applyFont="1" applyFill="1" applyAlignment="1" applyProtection="1">
      <alignment horizontal="center" wrapText="1"/>
    </xf>
    <xf numFmtId="0" fontId="55" fillId="2" borderId="0" xfId="0" applyNumberFormat="1" applyFont="1" applyFill="1" applyAlignment="1" applyProtection="1">
      <alignment horizontal="center" wrapText="1"/>
    </xf>
    <xf numFmtId="0" fontId="38" fillId="2" borderId="30" xfId="0" applyNumberFormat="1" applyFont="1" applyFill="1" applyBorder="1" applyAlignment="1" applyProtection="1">
      <alignment horizontal="left" vertical="center" wrapText="1"/>
    </xf>
    <xf numFmtId="0" fontId="38" fillId="2" borderId="61" xfId="0" applyNumberFormat="1" applyFont="1" applyFill="1" applyBorder="1" applyAlignment="1" applyProtection="1">
      <alignment horizontal="left" vertical="center" wrapText="1"/>
    </xf>
    <xf numFmtId="0" fontId="38" fillId="2" borderId="61" xfId="0" applyNumberFormat="1" applyFont="1" applyFill="1" applyBorder="1" applyAlignment="1" applyProtection="1">
      <alignment horizontal="center" vertical="center" wrapText="1"/>
    </xf>
    <xf numFmtId="0" fontId="38" fillId="2" borderId="30" xfId="0" applyNumberFormat="1" applyFont="1" applyFill="1" applyBorder="1" applyAlignment="1" applyProtection="1">
      <alignment horizontal="center" vertical="center" wrapText="1"/>
    </xf>
    <xf numFmtId="0" fontId="50" fillId="2" borderId="20" xfId="0" applyNumberFormat="1" applyFont="1" applyFill="1" applyBorder="1" applyAlignment="1" applyProtection="1">
      <alignment horizontal="center" vertical="center" wrapText="1"/>
    </xf>
    <xf numFmtId="49" fontId="36" fillId="2" borderId="20" xfId="0" applyNumberFormat="1" applyFont="1" applyFill="1" applyBorder="1" applyAlignment="1" applyProtection="1">
      <alignment horizontal="center" vertical="center" wrapText="1"/>
    </xf>
    <xf numFmtId="0" fontId="53" fillId="2" borderId="20" xfId="0" applyNumberFormat="1" applyFont="1" applyFill="1" applyBorder="1" applyAlignment="1" applyProtection="1">
      <alignment horizontal="center" vertical="center" wrapText="1"/>
    </xf>
    <xf numFmtId="0" fontId="8" fillId="2" borderId="20" xfId="0" applyNumberFormat="1" applyFont="1" applyFill="1" applyBorder="1" applyAlignment="1" applyProtection="1">
      <alignment horizontal="center" vertical="center" wrapText="1"/>
    </xf>
    <xf numFmtId="49" fontId="36" fillId="2" borderId="26" xfId="0" applyNumberFormat="1" applyFont="1" applyFill="1" applyBorder="1" applyAlignment="1" applyProtection="1">
      <alignment horizontal="center" vertical="center" wrapText="1"/>
    </xf>
    <xf numFmtId="177" fontId="53" fillId="2" borderId="20" xfId="0" applyNumberFormat="1" applyFont="1" applyFill="1" applyBorder="1" applyAlignment="1" applyProtection="1">
      <alignment horizontal="center" vertical="center" wrapText="1"/>
    </xf>
    <xf numFmtId="0" fontId="53" fillId="2" borderId="60" xfId="0" applyNumberFormat="1" applyFont="1" applyFill="1" applyBorder="1" applyAlignment="1" applyProtection="1">
      <alignment horizontal="center" vertical="center" wrapText="1"/>
    </xf>
    <xf numFmtId="0" fontId="36" fillId="2" borderId="5" xfId="0" applyNumberFormat="1" applyFont="1" applyFill="1" applyBorder="1" applyAlignment="1" applyProtection="1">
      <alignment horizontal="left" vertical="center" wrapText="1"/>
    </xf>
    <xf numFmtId="0" fontId="38" fillId="2" borderId="7" xfId="0" applyNumberFormat="1" applyFont="1" applyFill="1" applyBorder="1" applyAlignment="1" applyProtection="1">
      <alignment horizontal="left" vertical="center" wrapText="1"/>
    </xf>
    <xf numFmtId="0" fontId="51" fillId="2" borderId="9" xfId="0" applyNumberFormat="1" applyFont="1" applyFill="1" applyBorder="1" applyAlignment="1" applyProtection="1">
      <alignment horizontal="center" vertical="center" wrapText="1"/>
    </xf>
    <xf numFmtId="0" fontId="51" fillId="2" borderId="1" xfId="0" applyNumberFormat="1" applyFont="1" applyFill="1" applyBorder="1" applyAlignment="1" applyProtection="1">
      <alignment horizontal="center" vertical="center" wrapText="1"/>
    </xf>
    <xf numFmtId="0" fontId="50" fillId="2" borderId="40" xfId="0" applyNumberFormat="1" applyFont="1" applyFill="1" applyBorder="1" applyAlignment="1" applyProtection="1">
      <alignment horizontal="left" vertical="center" wrapText="1"/>
    </xf>
    <xf numFmtId="0" fontId="38" fillId="2" borderId="0" xfId="0" applyNumberFormat="1" applyFont="1" applyFill="1" applyBorder="1" applyAlignment="1" applyProtection="1">
      <alignment horizontal="left" vertical="center" wrapText="1"/>
    </xf>
    <xf numFmtId="0" fontId="38" fillId="2" borderId="56" xfId="0" applyNumberFormat="1" applyFont="1" applyFill="1" applyBorder="1" applyAlignment="1" applyProtection="1">
      <alignment horizontal="center" vertical="center" wrapText="1"/>
    </xf>
    <xf numFmtId="0" fontId="50" fillId="2" borderId="30" xfId="0" applyNumberFormat="1" applyFont="1" applyFill="1" applyBorder="1" applyAlignment="1" applyProtection="1">
      <alignment horizontal="center" vertical="center" wrapText="1"/>
    </xf>
    <xf numFmtId="0" fontId="53" fillId="2" borderId="30" xfId="0" applyNumberFormat="1" applyFont="1" applyFill="1" applyBorder="1" applyAlignment="1" applyProtection="1">
      <alignment horizontal="center" vertical="center" wrapText="1"/>
    </xf>
    <xf numFmtId="0" fontId="38" fillId="2" borderId="25" xfId="0" applyNumberFormat="1" applyFont="1" applyFill="1" applyBorder="1" applyAlignment="1" applyProtection="1">
      <alignment horizontal="left" vertical="center" wrapText="1"/>
    </xf>
    <xf numFmtId="0" fontId="50" fillId="2" borderId="62" xfId="0" applyNumberFormat="1" applyFont="1" applyFill="1" applyBorder="1" applyAlignment="1" applyProtection="1">
      <alignment horizontal="center" vertical="center" wrapText="1"/>
    </xf>
    <xf numFmtId="0" fontId="53" fillId="2" borderId="63" xfId="0" applyNumberFormat="1" applyFont="1" applyFill="1" applyBorder="1" applyAlignment="1" applyProtection="1">
      <alignment horizontal="center" vertical="center" wrapText="1"/>
    </xf>
    <xf numFmtId="0" fontId="38" fillId="2" borderId="6" xfId="0" applyNumberFormat="1" applyFont="1" applyFill="1" applyBorder="1" applyAlignment="1" applyProtection="1">
      <alignment horizontal="left" vertical="center" wrapText="1"/>
    </xf>
    <xf numFmtId="0" fontId="8" fillId="2" borderId="0" xfId="0" applyNumberFormat="1" applyFont="1" applyFill="1" applyAlignment="1" applyProtection="1">
      <alignment horizontal="center" vertical="center" wrapText="1"/>
    </xf>
    <xf numFmtId="0" fontId="51" fillId="2" borderId="10" xfId="0" applyNumberFormat="1" applyFont="1" applyFill="1" applyBorder="1" applyAlignment="1" applyProtection="1">
      <alignment horizontal="center" vertical="center" wrapText="1"/>
    </xf>
    <xf numFmtId="0" fontId="53" fillId="2" borderId="64" xfId="0" applyNumberFormat="1" applyFont="1" applyFill="1" applyBorder="1" applyAlignment="1" applyProtection="1">
      <alignment horizontal="center" vertical="center" wrapText="1"/>
    </xf>
    <xf numFmtId="0" fontId="53" fillId="2" borderId="65" xfId="0" applyNumberFormat="1" applyFont="1" applyFill="1" applyBorder="1" applyAlignment="1" applyProtection="1">
      <alignment horizontal="center" vertical="center" wrapText="1"/>
    </xf>
    <xf numFmtId="0" fontId="53" fillId="2" borderId="66" xfId="0" applyNumberFormat="1" applyFont="1" applyFill="1" applyBorder="1" applyAlignment="1" applyProtection="1">
      <alignment horizontal="center" vertical="center" wrapText="1"/>
    </xf>
    <xf numFmtId="0" fontId="10" fillId="2" borderId="5" xfId="0" applyNumberFormat="1" applyFont="1" applyFill="1" applyBorder="1" applyAlignment="1" applyProtection="1">
      <alignment horizontal="center" vertical="center" wrapText="1"/>
    </xf>
    <xf numFmtId="0" fontId="10" fillId="2" borderId="7" xfId="0" applyNumberFormat="1" applyFont="1" applyFill="1" applyBorder="1" applyAlignment="1" applyProtection="1">
      <alignment horizontal="center" vertical="center" wrapText="1"/>
    </xf>
    <xf numFmtId="0" fontId="10" fillId="2" borderId="9" xfId="0" applyNumberFormat="1" applyFont="1" applyFill="1" applyBorder="1" applyAlignment="1" applyProtection="1">
      <alignment horizontal="center" vertical="center" wrapText="1"/>
    </xf>
    <xf numFmtId="0" fontId="10" fillId="2" borderId="1" xfId="0" applyNumberFormat="1" applyFont="1" applyFill="1" applyBorder="1" applyAlignment="1" applyProtection="1">
      <alignment horizontal="center" vertical="center" wrapText="1"/>
    </xf>
    <xf numFmtId="177" fontId="51" fillId="2" borderId="29" xfId="0" applyNumberFormat="1" applyFont="1" applyFill="1" applyBorder="1" applyAlignment="1" applyProtection="1">
      <alignment horizontal="center" wrapText="1"/>
    </xf>
    <xf numFmtId="0" fontId="53" fillId="2" borderId="67" xfId="0" applyNumberFormat="1" applyFont="1" applyFill="1" applyBorder="1" applyAlignment="1" applyProtection="1">
      <alignment horizontal="center" vertical="center" wrapText="1"/>
    </xf>
    <xf numFmtId="0" fontId="53" fillId="2" borderId="24" xfId="0" applyNumberFormat="1" applyFont="1" applyFill="1" applyBorder="1" applyAlignment="1" applyProtection="1">
      <alignment horizontal="center" vertical="center" wrapText="1"/>
    </xf>
    <xf numFmtId="0" fontId="8" fillId="2" borderId="2" xfId="0" applyNumberFormat="1" applyFont="1" applyFill="1" applyBorder="1" applyAlignment="1" applyProtection="1">
      <alignment horizontal="center" vertical="center" wrapText="1"/>
    </xf>
    <xf numFmtId="9" fontId="8" fillId="2" borderId="22" xfId="3" applyNumberFormat="1" applyFont="1" applyFill="1" applyBorder="1" applyAlignment="1" applyProtection="1">
      <alignment horizontal="center" vertical="center" wrapText="1"/>
    </xf>
    <xf numFmtId="9" fontId="8" fillId="2" borderId="22" xfId="3" applyFont="1" applyFill="1" applyBorder="1" applyAlignment="1" applyProtection="1">
      <alignment horizontal="center" vertical="center" wrapText="1"/>
    </xf>
    <xf numFmtId="0" fontId="53" fillId="2" borderId="68" xfId="0" applyNumberFormat="1" applyFont="1" applyFill="1" applyBorder="1" applyAlignment="1" applyProtection="1">
      <alignment horizontal="center" vertical="center" wrapText="1"/>
    </xf>
    <xf numFmtId="0" fontId="53" fillId="2" borderId="69" xfId="0" applyNumberFormat="1" applyFont="1" applyFill="1" applyBorder="1" applyAlignment="1" applyProtection="1">
      <alignment horizontal="center" vertical="center" wrapText="1"/>
    </xf>
    <xf numFmtId="0" fontId="53" fillId="2" borderId="61" xfId="0" applyNumberFormat="1" applyFont="1" applyFill="1" applyBorder="1" applyAlignment="1" applyProtection="1">
      <alignment horizontal="center" vertical="center" wrapText="1"/>
    </xf>
    <xf numFmtId="0" fontId="53" fillId="2" borderId="70" xfId="0" applyNumberFormat="1" applyFont="1" applyFill="1" applyBorder="1" applyAlignment="1" applyProtection="1">
      <alignment horizontal="center" vertical="center" wrapText="1"/>
    </xf>
    <xf numFmtId="0" fontId="53" fillId="2" borderId="22" xfId="0" applyNumberFormat="1" applyFont="1" applyFill="1" applyBorder="1" applyAlignment="1" applyProtection="1">
      <alignment horizontal="center" vertical="center" wrapText="1"/>
    </xf>
    <xf numFmtId="0" fontId="10" fillId="2" borderId="6" xfId="0" applyNumberFormat="1" applyFont="1" applyFill="1" applyBorder="1" applyAlignment="1" applyProtection="1">
      <alignment horizontal="center" vertical="center" wrapText="1"/>
    </xf>
    <xf numFmtId="0" fontId="10" fillId="2" borderId="10" xfId="0" applyNumberFormat="1" applyFont="1" applyFill="1" applyBorder="1" applyAlignment="1" applyProtection="1">
      <alignment horizontal="center" vertical="center" wrapText="1"/>
    </xf>
    <xf numFmtId="0" fontId="51" fillId="2" borderId="18" xfId="0" applyNumberFormat="1" applyFont="1" applyFill="1" applyBorder="1" applyAlignment="1" applyProtection="1">
      <alignment horizontal="center" vertical="center" wrapText="1"/>
    </xf>
    <xf numFmtId="0" fontId="51" fillId="2" borderId="36" xfId="0" applyNumberFormat="1" applyFont="1" applyFill="1" applyBorder="1" applyAlignment="1" applyProtection="1">
      <alignment horizontal="center" vertical="center" wrapText="1"/>
    </xf>
    <xf numFmtId="0" fontId="50" fillId="2" borderId="30" xfId="0" applyNumberFormat="1" applyFont="1" applyFill="1" applyBorder="1" applyAlignment="1" applyProtection="1">
      <alignment horizontal="left" vertical="center" wrapText="1"/>
    </xf>
    <xf numFmtId="0" fontId="9" fillId="2" borderId="33" xfId="0" applyNumberFormat="1" applyFont="1" applyFill="1" applyBorder="1" applyAlignment="1" applyProtection="1">
      <alignment horizontal="center" vertical="center" wrapText="1"/>
    </xf>
    <xf numFmtId="9" fontId="38" fillId="2" borderId="20" xfId="0" applyNumberFormat="1" applyFont="1" applyFill="1" applyBorder="1" applyAlignment="1" applyProtection="1">
      <alignment horizontal="center" vertical="center" wrapText="1"/>
    </xf>
    <xf numFmtId="9" fontId="38" fillId="2" borderId="60" xfId="0" applyNumberFormat="1" applyFont="1" applyFill="1" applyBorder="1" applyAlignment="1" applyProtection="1">
      <alignment horizontal="center" vertical="center" wrapText="1"/>
    </xf>
    <xf numFmtId="177" fontId="38" fillId="2" borderId="20" xfId="0" applyNumberFormat="1" applyFont="1" applyFill="1" applyBorder="1" applyAlignment="1" applyProtection="1">
      <alignment horizontal="center" vertical="center" wrapText="1"/>
    </xf>
    <xf numFmtId="0" fontId="36" fillId="2" borderId="71" xfId="0" applyNumberFormat="1" applyFont="1" applyFill="1" applyBorder="1" applyAlignment="1" applyProtection="1">
      <alignment horizontal="center" vertical="center" wrapText="1"/>
    </xf>
    <xf numFmtId="0" fontId="36" fillId="2" borderId="72" xfId="0" applyNumberFormat="1" applyFont="1" applyFill="1" applyBorder="1" applyAlignment="1" applyProtection="1">
      <alignment horizontal="center" vertical="center" wrapText="1"/>
    </xf>
    <xf numFmtId="0" fontId="36" fillId="2" borderId="68" xfId="0" applyNumberFormat="1" applyFont="1" applyFill="1" applyBorder="1" applyAlignment="1" applyProtection="1">
      <alignment horizontal="center" vertical="center" wrapText="1"/>
    </xf>
    <xf numFmtId="0" fontId="38" fillId="2" borderId="73" xfId="0" applyNumberFormat="1" applyFont="1" applyFill="1" applyBorder="1" applyAlignment="1" applyProtection="1">
      <alignment horizontal="center" vertical="center" wrapText="1"/>
    </xf>
    <xf numFmtId="0" fontId="36" fillId="2" borderId="57" xfId="0" applyNumberFormat="1" applyFont="1" applyFill="1" applyBorder="1" applyAlignment="1" applyProtection="1">
      <alignment horizontal="left" vertical="center" wrapText="1"/>
    </xf>
    <xf numFmtId="0" fontId="38" fillId="2" borderId="58" xfId="0" applyNumberFormat="1" applyFont="1" applyFill="1" applyBorder="1" applyAlignment="1" applyProtection="1">
      <alignment horizontal="left" vertical="center" wrapText="1"/>
    </xf>
    <xf numFmtId="0" fontId="38" fillId="2" borderId="74" xfId="0" applyNumberFormat="1" applyFont="1" applyFill="1" applyBorder="1" applyAlignment="1" applyProtection="1">
      <alignment horizontal="left" vertical="center" wrapText="1"/>
    </xf>
    <xf numFmtId="0" fontId="56" fillId="2" borderId="0" xfId="0" applyNumberFormat="1" applyFont="1" applyFill="1" applyBorder="1" applyAlignment="1" applyProtection="1">
      <alignment horizontal="center" vertical="center" wrapText="1"/>
    </xf>
    <xf numFmtId="0" fontId="57" fillId="2" borderId="29" xfId="0" applyNumberFormat="1" applyFont="1" applyFill="1" applyBorder="1" applyAlignment="1" applyProtection="1">
      <alignment horizontal="center" wrapText="1"/>
    </xf>
    <xf numFmtId="0" fontId="49" fillId="2" borderId="0" xfId="0" applyNumberFormat="1" applyFont="1" applyFill="1" applyBorder="1" applyAlignment="1" applyProtection="1">
      <alignment horizontal="center" vertical="center" wrapText="1"/>
    </xf>
    <xf numFmtId="0" fontId="36" fillId="2" borderId="75" xfId="0" applyNumberFormat="1" applyFont="1" applyFill="1" applyBorder="1" applyAlignment="1" applyProtection="1">
      <alignment horizontal="center" vertical="center" wrapText="1"/>
    </xf>
    <xf numFmtId="0" fontId="36" fillId="2" borderId="76" xfId="0" applyNumberFormat="1" applyFont="1" applyFill="1" applyBorder="1" applyAlignment="1" applyProtection="1">
      <alignment horizontal="center" vertical="center" wrapText="1"/>
    </xf>
    <xf numFmtId="0" fontId="36" fillId="2" borderId="66" xfId="0" applyNumberFormat="1" applyFont="1" applyFill="1" applyBorder="1" applyAlignment="1" applyProtection="1">
      <alignment horizontal="center" vertical="center" wrapText="1"/>
    </xf>
    <xf numFmtId="0" fontId="38" fillId="2" borderId="64" xfId="0" applyNumberFormat="1" applyFont="1" applyFill="1" applyBorder="1" applyAlignment="1" applyProtection="1">
      <alignment horizontal="center" vertical="center" wrapText="1"/>
    </xf>
    <xf numFmtId="0" fontId="57" fillId="2" borderId="20" xfId="0" applyNumberFormat="1" applyFont="1" applyFill="1" applyBorder="1" applyAlignment="1" applyProtection="1">
      <alignment horizontal="center" vertical="center" wrapText="1"/>
    </xf>
    <xf numFmtId="0" fontId="36" fillId="2" borderId="77" xfId="0" applyNumberFormat="1" applyFont="1" applyFill="1" applyBorder="1" applyAlignment="1" applyProtection="1">
      <alignment horizontal="center" vertical="center" wrapText="1"/>
    </xf>
    <xf numFmtId="0" fontId="36" fillId="2" borderId="69" xfId="0" applyNumberFormat="1" applyFont="1" applyFill="1" applyBorder="1" applyAlignment="1" applyProtection="1">
      <alignment horizontal="left" vertical="center" wrapText="1"/>
    </xf>
    <xf numFmtId="177" fontId="38" fillId="2" borderId="26" xfId="0" applyNumberFormat="1" applyFont="1" applyFill="1" applyBorder="1" applyAlignment="1" applyProtection="1">
      <alignment horizontal="center" wrapText="1"/>
    </xf>
    <xf numFmtId="31" fontId="36" fillId="2" borderId="20" xfId="0" applyNumberFormat="1" applyFont="1" applyFill="1" applyBorder="1" applyAlignment="1" applyProtection="1">
      <alignment horizontal="center" vertical="center" wrapText="1"/>
    </xf>
    <xf numFmtId="31" fontId="36" fillId="2" borderId="36" xfId="0" applyNumberFormat="1" applyFont="1" applyFill="1" applyBorder="1" applyAlignment="1" applyProtection="1">
      <alignment horizontal="center" vertical="center" wrapText="1"/>
    </xf>
    <xf numFmtId="0" fontId="36" fillId="2" borderId="29" xfId="0" applyNumberFormat="1" applyFont="1" applyFill="1" applyBorder="1" applyAlignment="1" applyProtection="1"/>
    <xf numFmtId="0" fontId="36" fillId="2" borderId="59" xfId="0" applyNumberFormat="1" applyFont="1" applyFill="1" applyBorder="1" applyAlignment="1" applyProtection="1">
      <alignment horizontal="center" vertical="center" wrapText="1"/>
    </xf>
    <xf numFmtId="0" fontId="38" fillId="2" borderId="45" xfId="0" applyNumberFormat="1" applyFont="1" applyFill="1" applyBorder="1" applyAlignment="1" applyProtection="1">
      <alignment horizontal="center" wrapText="1"/>
    </xf>
    <xf numFmtId="177" fontId="38" fillId="2" borderId="0" xfId="0" applyNumberFormat="1" applyFont="1" applyFill="1" applyBorder="1" applyAlignment="1" applyProtection="1">
      <alignment horizontal="center" wrapText="1"/>
    </xf>
    <xf numFmtId="0" fontId="38" fillId="2" borderId="78" xfId="0" applyNumberFormat="1" applyFont="1" applyFill="1" applyBorder="1" applyAlignment="1" applyProtection="1">
      <alignment horizontal="left" vertical="center" wrapText="1"/>
    </xf>
    <xf numFmtId="0" fontId="0" fillId="0" borderId="0" xfId="0" applyAlignment="1"/>
    <xf numFmtId="0" fontId="37" fillId="2" borderId="0" xfId="0" applyNumberFormat="1" applyFont="1" applyFill="1" applyBorder="1" applyAlignment="1" applyProtection="1">
      <alignment wrapText="1"/>
    </xf>
    <xf numFmtId="0" fontId="37" fillId="2" borderId="0" xfId="0" applyNumberFormat="1" applyFont="1" applyFill="1" applyBorder="1" applyAlignment="1" applyProtection="1">
      <alignment vertical="center" wrapText="1"/>
    </xf>
    <xf numFmtId="0" fontId="40" fillId="2" borderId="27" xfId="0" applyNumberFormat="1" applyFont="1" applyFill="1" applyBorder="1" applyAlignment="1" applyProtection="1">
      <alignment vertical="center" wrapText="1"/>
    </xf>
    <xf numFmtId="0" fontId="45" fillId="2" borderId="0" xfId="0" applyNumberFormat="1" applyFont="1" applyFill="1" applyAlignment="1" applyProtection="1">
      <alignment wrapText="1"/>
    </xf>
    <xf numFmtId="0" fontId="39" fillId="2" borderId="0" xfId="0" applyNumberFormat="1" applyFont="1" applyFill="1" applyBorder="1" applyAlignment="1" applyProtection="1">
      <alignment wrapText="1"/>
    </xf>
    <xf numFmtId="0" fontId="40" fillId="2" borderId="0" xfId="0" applyNumberFormat="1" applyFont="1" applyFill="1" applyBorder="1" applyAlignment="1" applyProtection="1">
      <alignment vertical="center" wrapText="1"/>
    </xf>
    <xf numFmtId="0" fontId="4" fillId="0" borderId="1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14" xfId="0" applyFont="1" applyFill="1" applyBorder="1" applyAlignment="1">
      <alignment horizontal="justify" wrapText="1"/>
    </xf>
    <xf numFmtId="0" fontId="4" fillId="0" borderId="0" xfId="0" applyFont="1" applyFill="1" applyBorder="1" applyAlignment="1">
      <alignment horizontal="justify" wrapText="1"/>
    </xf>
    <xf numFmtId="0" fontId="4" fillId="0" borderId="9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9" fontId="7" fillId="0" borderId="2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9" fontId="7" fillId="0" borderId="4" xfId="0" applyNumberFormat="1" applyFont="1" applyFill="1" applyBorder="1" applyAlignment="1">
      <alignment horizontal="center" vertical="center" wrapText="1"/>
    </xf>
    <xf numFmtId="9" fontId="7" fillId="0" borderId="8" xfId="0" applyNumberFormat="1" applyFont="1" applyFill="1" applyBorder="1" applyAlignment="1">
      <alignment horizontal="center" vertical="center" wrapText="1"/>
    </xf>
    <xf numFmtId="9" fontId="5" fillId="0" borderId="4" xfId="0" applyNumberFormat="1" applyFont="1" applyFill="1" applyBorder="1" applyAlignment="1">
      <alignment horizontal="center" vertical="center" wrapText="1"/>
    </xf>
    <xf numFmtId="9" fontId="5" fillId="0" borderId="8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wrapText="1"/>
    </xf>
    <xf numFmtId="0" fontId="4" fillId="0" borderId="12" xfId="0" applyFont="1" applyFill="1" applyBorder="1" applyAlignment="1">
      <alignment horizontal="justify" wrapText="1"/>
    </xf>
    <xf numFmtId="0" fontId="4" fillId="0" borderId="10" xfId="0" applyFont="1" applyFill="1" applyBorder="1" applyAlignment="1">
      <alignment horizontal="right" vertical="top" wrapText="1"/>
    </xf>
    <xf numFmtId="2" fontId="13" fillId="0" borderId="5" xfId="0" applyNumberFormat="1" applyFont="1" applyFill="1" applyBorder="1" applyAlignment="1">
      <alignment vertical="center" wrapText="1"/>
    </xf>
    <xf numFmtId="2" fontId="13" fillId="0" borderId="9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horizontal="left" wrapText="1"/>
    </xf>
    <xf numFmtId="0" fontId="1" fillId="0" borderId="0" xfId="0" applyFont="1" applyFill="1" applyBorder="1" applyAlignment="1">
      <alignment vertical="center"/>
    </xf>
    <xf numFmtId="2" fontId="13" fillId="0" borderId="7" xfId="0" applyNumberFormat="1" applyFont="1" applyFill="1" applyBorder="1" applyAlignment="1">
      <alignment vertical="center" wrapText="1"/>
    </xf>
    <xf numFmtId="2" fontId="13" fillId="0" borderId="6" xfId="0" applyNumberFormat="1" applyFont="1" applyFill="1" applyBorder="1" applyAlignment="1">
      <alignment vertical="center" wrapText="1"/>
    </xf>
    <xf numFmtId="2" fontId="13" fillId="0" borderId="1" xfId="0" applyNumberFormat="1" applyFont="1" applyFill="1" applyBorder="1" applyAlignment="1">
      <alignment vertical="center" wrapText="1"/>
    </xf>
    <xf numFmtId="2" fontId="13" fillId="0" borderId="1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36" fillId="2" borderId="49" xfId="0" applyNumberFormat="1" applyFont="1" applyFill="1" applyBorder="1" applyAlignment="1" applyProtection="1">
      <alignment horizontal="center" vertical="center" wrapText="1"/>
    </xf>
    <xf numFmtId="0" fontId="56" fillId="2" borderId="49" xfId="0" applyNumberFormat="1" applyFont="1" applyFill="1" applyBorder="1" applyAlignment="1" applyProtection="1">
      <alignment horizontal="center" vertical="center" wrapText="1"/>
    </xf>
    <xf numFmtId="0" fontId="58" fillId="2" borderId="29" xfId="0" applyNumberFormat="1" applyFont="1" applyFill="1" applyBorder="1" applyAlignment="1" applyProtection="1">
      <alignment horizontal="center" wrapText="1"/>
    </xf>
    <xf numFmtId="0" fontId="47" fillId="2" borderId="29" xfId="0" applyNumberFormat="1" applyFont="1" applyFill="1" applyBorder="1" applyAlignment="1" applyProtection="1">
      <alignment horizontal="center" wrapText="1"/>
    </xf>
    <xf numFmtId="0" fontId="39" fillId="2" borderId="1" xfId="0" applyNumberFormat="1" applyFont="1" applyFill="1" applyBorder="1" applyAlignment="1" applyProtection="1">
      <alignment horizontal="center" wrapText="1"/>
    </xf>
    <xf numFmtId="0" fontId="36" fillId="2" borderId="29" xfId="0" applyNumberFormat="1" applyFont="1" applyFill="1" applyBorder="1" applyAlignment="1" applyProtection="1">
      <alignment wrapText="1"/>
    </xf>
    <xf numFmtId="0" fontId="21" fillId="2" borderId="0" xfId="0" applyNumberFormat="1" applyFont="1" applyFill="1" applyAlignment="1" applyProtection="1">
      <alignment horizontal="left" vertical="center" wrapText="1"/>
    </xf>
    <xf numFmtId="178" fontId="36" fillId="2" borderId="26" xfId="0" applyNumberFormat="1" applyFont="1" applyFill="1" applyBorder="1" applyAlignment="1" applyProtection="1">
      <alignment horizontal="center" wrapText="1"/>
    </xf>
    <xf numFmtId="0" fontId="59" fillId="2" borderId="49" xfId="0" applyNumberFormat="1" applyFont="1" applyFill="1" applyBorder="1" applyAlignment="1" applyProtection="1">
      <alignment horizontal="left" wrapText="1"/>
    </xf>
    <xf numFmtId="0" fontId="36" fillId="2" borderId="31" xfId="0" applyNumberFormat="1" applyFont="1" applyFill="1" applyBorder="1" applyAlignment="1" applyProtection="1">
      <alignment wrapText="1"/>
    </xf>
    <xf numFmtId="0" fontId="36" fillId="2" borderId="53" xfId="0" applyNumberFormat="1" applyFont="1" applyFill="1" applyBorder="1" applyAlignment="1" applyProtection="1">
      <alignment horizontal="right" wrapText="1"/>
    </xf>
    <xf numFmtId="0" fontId="36" fillId="2" borderId="53" xfId="0" applyNumberFormat="1" applyFont="1" applyFill="1" applyBorder="1" applyAlignment="1" applyProtection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ip\&#20013;&#28009;&#23431;\&#24067;&#25302;&#24037;&#24207;&#34920;&#65288;&#20462;&#25913;&#65289;\&#26222;&#36890;&#28151;&#20957;&#2230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普通混凝土单元"/>
      <sheetName val="基础面处理工序"/>
      <sheetName val="施工缝处理工序"/>
      <sheetName val="模板制作及安装工序"/>
      <sheetName val=" 钢筋制作及安装工序"/>
      <sheetName val="预埋件制作及安装工序"/>
      <sheetName val="混凝土浇筑工序"/>
      <sheetName val="混凝土外观质量检查工序"/>
    </sheetNames>
    <sheetDataSet>
      <sheetData sheetId="0">
        <row r="3">
          <cell r="D3" t="str">
            <v>进水闸工程</v>
          </cell>
        </row>
        <row r="4">
          <cell r="D4" t="str">
            <v>闸室段</v>
          </cell>
        </row>
        <row r="4">
          <cell r="G4" t="str">
            <v>四川华浩建筑工程有限公司</v>
          </cell>
        </row>
        <row r="5">
          <cell r="D5" t="str">
            <v>2#闸墩，▽152.500～154.500m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1"/>
  <sheetViews>
    <sheetView view="pageBreakPreview" zoomScaleNormal="100" workbookViewId="0">
      <selection activeCell="D7" sqref="D7:J7"/>
    </sheetView>
  </sheetViews>
  <sheetFormatPr defaultColWidth="9.24761904761905" defaultRowHeight="12"/>
  <cols>
    <col min="1" max="1" width="0.838095238095238" customWidth="1"/>
    <col min="2" max="2" width="2.71428571428571" customWidth="1"/>
    <col min="3" max="3" width="2" customWidth="1"/>
    <col min="4" max="6" width="2.71428571428571" customWidth="1"/>
    <col min="7" max="7" width="2.83809523809524" customWidth="1"/>
    <col min="8" max="8" width="3.13333333333333" customWidth="1"/>
    <col min="9" max="9" width="2.71428571428571" customWidth="1"/>
    <col min="10" max="12" width="2.83809523809524" customWidth="1"/>
    <col min="13" max="13" width="2.13333333333333" customWidth="1"/>
    <col min="14" max="14" width="2.83809523809524" customWidth="1"/>
    <col min="15" max="15" width="3.84761904761905" customWidth="1"/>
    <col min="16" max="16" width="3" customWidth="1"/>
    <col min="17" max="17" width="3.13333333333333" customWidth="1"/>
    <col min="18" max="18" width="3.83809523809524" customWidth="1"/>
    <col min="19" max="19" width="3.42857142857143" customWidth="1"/>
    <col min="20" max="33" width="2.71428571428571" customWidth="1"/>
    <col min="34" max="37" width="2.42857142857143" customWidth="1"/>
    <col min="38" max="38" width="1" customWidth="1"/>
    <col min="39" max="39" width="9.24761904761905" hidden="1" customWidth="1"/>
  </cols>
  <sheetData>
    <row r="1" ht="35.25" customHeight="1" spans="1:39">
      <c r="A1" s="273"/>
      <c r="B1" s="337"/>
      <c r="C1" s="337"/>
      <c r="D1" s="337"/>
      <c r="E1" s="337"/>
      <c r="F1" s="337"/>
      <c r="G1" s="338" t="s">
        <v>0</v>
      </c>
      <c r="H1" s="338"/>
      <c r="I1" s="338"/>
      <c r="J1" s="338"/>
      <c r="K1" s="338"/>
      <c r="L1" s="338"/>
      <c r="M1" s="338"/>
      <c r="N1" s="338"/>
      <c r="O1" s="338"/>
      <c r="P1" s="338"/>
      <c r="Q1" s="401" t="s">
        <v>1</v>
      </c>
      <c r="R1" s="401"/>
      <c r="S1" s="401"/>
      <c r="T1" s="374" t="s">
        <v>2</v>
      </c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83"/>
      <c r="AK1" s="383"/>
      <c r="AL1" s="273"/>
      <c r="AM1" s="273"/>
    </row>
    <row r="2" customHeight="1" spans="1:39">
      <c r="A2" s="273"/>
      <c r="B2" s="271"/>
      <c r="C2" s="271"/>
      <c r="D2" s="271"/>
      <c r="E2" s="271"/>
      <c r="F2" s="271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273"/>
      <c r="AM2" s="273"/>
    </row>
    <row r="3" ht="17.25" customHeight="1" spans="1:39">
      <c r="A3" s="273"/>
      <c r="B3" s="340" t="s">
        <v>3</v>
      </c>
      <c r="C3" s="340"/>
      <c r="D3" s="341"/>
      <c r="E3" s="341"/>
      <c r="F3" s="340"/>
      <c r="G3" s="340"/>
      <c r="H3" s="340"/>
      <c r="I3" s="340"/>
      <c r="J3" s="340"/>
      <c r="K3" s="273"/>
      <c r="L3" s="273"/>
      <c r="M3" s="273"/>
      <c r="N3" s="273"/>
      <c r="O3" s="273" t="s">
        <v>4</v>
      </c>
      <c r="P3" s="340"/>
      <c r="Q3" s="340" t="s">
        <v>5</v>
      </c>
      <c r="R3" s="352"/>
      <c r="S3" s="273"/>
      <c r="T3" s="273"/>
      <c r="U3" s="273" t="s">
        <v>6</v>
      </c>
      <c r="V3" s="273"/>
      <c r="W3" s="273"/>
      <c r="X3" s="352"/>
      <c r="Y3" s="273"/>
      <c r="Z3" s="295" t="s">
        <v>7</v>
      </c>
      <c r="AA3" s="295"/>
      <c r="AB3" s="273"/>
      <c r="AC3" s="273"/>
      <c r="AD3" s="295"/>
      <c r="AE3" s="295"/>
      <c r="AF3" s="295"/>
      <c r="AG3" s="295"/>
      <c r="AH3" s="295"/>
      <c r="AI3" s="295"/>
      <c r="AJ3" s="295"/>
      <c r="AK3" s="295"/>
      <c r="AL3" s="273"/>
      <c r="AM3" s="273"/>
    </row>
    <row r="4" ht="30" customHeight="1" spans="1:39">
      <c r="A4" s="273"/>
      <c r="B4" s="273" t="s">
        <v>8</v>
      </c>
      <c r="C4" s="273"/>
      <c r="D4" s="273"/>
      <c r="E4" s="273"/>
      <c r="F4" s="273"/>
      <c r="G4" s="273"/>
      <c r="H4" s="295" t="s">
        <v>9</v>
      </c>
      <c r="I4" s="295"/>
      <c r="J4" s="295"/>
      <c r="K4" s="295"/>
      <c r="L4" s="295"/>
      <c r="M4" s="295"/>
      <c r="N4" s="295"/>
      <c r="O4" s="365"/>
      <c r="P4" s="365"/>
      <c r="Q4" s="365"/>
      <c r="R4" s="365"/>
      <c r="S4" s="365"/>
      <c r="T4" s="295"/>
      <c r="U4" s="295"/>
      <c r="V4" s="295"/>
      <c r="W4" s="295"/>
      <c r="X4" s="295"/>
      <c r="Y4" s="273" t="s">
        <v>10</v>
      </c>
      <c r="Z4" s="379"/>
      <c r="AA4" s="379"/>
      <c r="AB4" s="379"/>
      <c r="AC4" s="270"/>
      <c r="AD4" s="273"/>
      <c r="AE4" s="273"/>
      <c r="AF4" s="273"/>
      <c r="AG4" s="273"/>
      <c r="AH4" s="273"/>
      <c r="AI4" s="273"/>
      <c r="AJ4" s="273"/>
      <c r="AK4" s="273"/>
      <c r="AL4" s="273"/>
      <c r="AM4" s="273"/>
    </row>
    <row r="5" ht="3.75" customHeight="1" spans="1:39">
      <c r="A5" s="273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384"/>
      <c r="AL5" s="273"/>
      <c r="AM5" s="273"/>
    </row>
    <row r="6" ht="26.25" customHeight="1" spans="1:39">
      <c r="A6" s="335"/>
      <c r="B6" s="342" t="s">
        <v>11</v>
      </c>
      <c r="C6" s="343"/>
      <c r="D6" s="343"/>
      <c r="E6" s="343"/>
      <c r="F6" s="343"/>
      <c r="G6" s="343"/>
      <c r="H6" s="596" t="s">
        <v>12</v>
      </c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270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5"/>
      <c r="AL6" s="386"/>
      <c r="AM6" s="273"/>
    </row>
    <row r="7" ht="26.25" customHeight="1" spans="1:39">
      <c r="A7" s="335"/>
      <c r="B7" s="597"/>
      <c r="C7" s="272"/>
      <c r="D7" s="598" t="str">
        <f>表土玻璃和回覆质量评定表!M6</f>
        <v>2024HD10地块-@file_num田块</v>
      </c>
      <c r="E7" s="598"/>
      <c r="F7" s="598"/>
      <c r="G7" s="598"/>
      <c r="H7" s="598"/>
      <c r="I7" s="598"/>
      <c r="J7" s="598"/>
      <c r="K7" s="599" t="str">
        <f>G1</f>
        <v>表土剥离与回覆</v>
      </c>
      <c r="L7" s="599"/>
      <c r="M7" s="599"/>
      <c r="N7" s="599"/>
      <c r="O7" s="599"/>
      <c r="P7" s="272" t="s">
        <v>13</v>
      </c>
      <c r="Q7" s="346" t="s">
        <v>1</v>
      </c>
      <c r="R7" s="346"/>
      <c r="S7" s="272" t="s">
        <v>14</v>
      </c>
      <c r="T7" s="365" t="s">
        <v>15</v>
      </c>
      <c r="U7" s="365"/>
      <c r="V7" s="365"/>
      <c r="W7" s="365"/>
      <c r="X7" s="365"/>
      <c r="Y7" s="365"/>
      <c r="Z7" s="365"/>
      <c r="AA7" s="365"/>
      <c r="AB7" s="365"/>
      <c r="AC7" s="365"/>
      <c r="AD7" s="365"/>
      <c r="AE7" s="365"/>
      <c r="AF7" s="365"/>
      <c r="AG7" s="365"/>
      <c r="AH7" s="365"/>
      <c r="AI7" s="387"/>
      <c r="AJ7" s="270"/>
      <c r="AK7" s="275"/>
      <c r="AL7" s="386"/>
      <c r="AM7" s="273"/>
    </row>
    <row r="8" ht="24.75" customHeight="1" spans="1:39">
      <c r="A8" s="335"/>
      <c r="B8" s="348"/>
      <c r="C8" s="349" t="s">
        <v>16</v>
      </c>
      <c r="D8" s="349"/>
      <c r="E8" s="349"/>
      <c r="F8" s="349"/>
      <c r="G8" s="349"/>
      <c r="H8" s="349"/>
      <c r="I8" s="366"/>
      <c r="J8" s="367"/>
      <c r="K8" s="367"/>
      <c r="L8" s="367"/>
      <c r="M8" s="367"/>
      <c r="N8" s="367"/>
      <c r="O8" s="368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88"/>
      <c r="AL8" s="386"/>
      <c r="AM8" s="273"/>
    </row>
    <row r="9" ht="33.75" customHeight="1" spans="1:39">
      <c r="A9" s="335"/>
      <c r="B9" s="348"/>
      <c r="C9" s="273"/>
      <c r="D9" s="273"/>
      <c r="E9" s="350" t="s">
        <v>17</v>
      </c>
      <c r="F9" s="349"/>
      <c r="G9" s="351" t="s">
        <v>18</v>
      </c>
      <c r="H9" s="352"/>
      <c r="I9" s="364"/>
      <c r="J9" s="364"/>
      <c r="K9" s="364"/>
      <c r="L9" s="364"/>
      <c r="M9" s="364"/>
      <c r="N9" s="364"/>
      <c r="O9" s="364"/>
      <c r="P9" s="364"/>
      <c r="Q9" s="376"/>
      <c r="R9" s="376"/>
      <c r="S9" s="376"/>
      <c r="T9" s="376"/>
      <c r="U9" s="376"/>
      <c r="V9" s="376"/>
      <c r="W9" s="376"/>
      <c r="X9" s="349" t="s">
        <v>19</v>
      </c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89"/>
      <c r="AL9" s="294"/>
      <c r="AM9" s="295">
        <v>0</v>
      </c>
    </row>
    <row r="10" ht="33.75" customHeight="1" spans="1:39">
      <c r="A10" s="335"/>
      <c r="B10" s="348"/>
      <c r="C10" s="273"/>
      <c r="D10" s="273"/>
      <c r="E10" s="352"/>
      <c r="F10" s="273"/>
      <c r="G10" s="351" t="s">
        <v>18</v>
      </c>
      <c r="H10" s="352"/>
      <c r="I10" s="285"/>
      <c r="J10" s="285"/>
      <c r="K10" s="285"/>
      <c r="L10" s="285"/>
      <c r="M10" s="285"/>
      <c r="N10" s="285"/>
      <c r="O10" s="285"/>
      <c r="P10" s="285"/>
      <c r="Q10" s="377"/>
      <c r="R10" s="377"/>
      <c r="S10" s="377"/>
      <c r="T10" s="377"/>
      <c r="U10" s="377"/>
      <c r="V10" s="377"/>
      <c r="W10" s="377"/>
      <c r="X10" s="349" t="s">
        <v>20</v>
      </c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89"/>
      <c r="AL10" s="386"/>
      <c r="AM10" s="295">
        <v>0</v>
      </c>
    </row>
    <row r="11" ht="33.75" customHeight="1" spans="1:39">
      <c r="A11" s="335"/>
      <c r="B11" s="348"/>
      <c r="C11" s="273"/>
      <c r="D11" s="273"/>
      <c r="E11" s="352"/>
      <c r="F11" s="273"/>
      <c r="G11" s="351" t="s">
        <v>18</v>
      </c>
      <c r="H11" s="352"/>
      <c r="I11" s="285" t="str">
        <f>G1</f>
        <v>表土剥离与回覆</v>
      </c>
      <c r="J11" s="285"/>
      <c r="K11" s="285"/>
      <c r="L11" s="285"/>
      <c r="M11" s="285"/>
      <c r="N11" s="285"/>
      <c r="O11" s="285"/>
      <c r="P11" s="285"/>
      <c r="Q11" s="377"/>
      <c r="R11" s="377"/>
      <c r="S11" s="377"/>
      <c r="T11" s="377"/>
      <c r="U11" s="377"/>
      <c r="V11" s="377"/>
      <c r="W11" s="377"/>
      <c r="X11" s="349" t="s">
        <v>21</v>
      </c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89"/>
      <c r="AL11" s="386"/>
      <c r="AM11" s="295">
        <v>1</v>
      </c>
    </row>
    <row r="12" ht="33.75" customHeight="1" spans="1:39">
      <c r="A12" s="335"/>
      <c r="B12" s="348"/>
      <c r="C12" s="273"/>
      <c r="D12" s="273"/>
      <c r="E12" s="352"/>
      <c r="F12" s="273"/>
      <c r="G12" s="351" t="s">
        <v>18</v>
      </c>
      <c r="H12" s="352"/>
      <c r="I12" s="285"/>
      <c r="J12" s="285"/>
      <c r="K12" s="285"/>
      <c r="L12" s="285"/>
      <c r="M12" s="285"/>
      <c r="N12" s="285"/>
      <c r="O12" s="285"/>
      <c r="P12" s="285"/>
      <c r="Q12" s="377"/>
      <c r="R12" s="377"/>
      <c r="S12" s="377"/>
      <c r="T12" s="377"/>
      <c r="U12" s="377"/>
      <c r="V12" s="377"/>
      <c r="W12" s="377"/>
      <c r="X12" s="349" t="s">
        <v>22</v>
      </c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89"/>
      <c r="AL12" s="386"/>
      <c r="AM12" s="295">
        <v>0</v>
      </c>
    </row>
    <row r="13" ht="17.25" customHeight="1" spans="1:39">
      <c r="A13" s="335"/>
      <c r="B13" s="353"/>
      <c r="C13" s="354"/>
      <c r="D13" s="354"/>
      <c r="E13" s="355"/>
      <c r="F13" s="354"/>
      <c r="G13" s="354"/>
      <c r="H13" s="355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90"/>
      <c r="AL13" s="386"/>
      <c r="AM13" s="273"/>
    </row>
    <row r="14" ht="17.25" customHeight="1" spans="1:39">
      <c r="A14" s="335"/>
      <c r="B14" s="353"/>
      <c r="C14" s="354"/>
      <c r="D14" s="354"/>
      <c r="E14" s="355"/>
      <c r="F14" s="354"/>
      <c r="G14" s="354"/>
      <c r="H14" s="355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90"/>
      <c r="AL14" s="386"/>
      <c r="AM14" s="273"/>
    </row>
    <row r="15" ht="17.25" customHeight="1" spans="1:39">
      <c r="A15" s="335"/>
      <c r="B15" s="353"/>
      <c r="C15" s="354"/>
      <c r="D15" s="354"/>
      <c r="E15" s="355"/>
      <c r="F15" s="354"/>
      <c r="G15" s="354"/>
      <c r="H15" s="355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90"/>
      <c r="AL15" s="386"/>
      <c r="AM15" s="273"/>
    </row>
    <row r="16" ht="17.25" customHeight="1" spans="1:39">
      <c r="A16" s="335"/>
      <c r="B16" s="353"/>
      <c r="C16" s="354"/>
      <c r="D16" s="354"/>
      <c r="E16" s="355"/>
      <c r="F16" s="354"/>
      <c r="G16" s="354"/>
      <c r="H16" s="355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90"/>
      <c r="AL16" s="386"/>
      <c r="AM16" s="273"/>
    </row>
    <row r="17" ht="33.75" customHeight="1" spans="1:39">
      <c r="A17" s="335"/>
      <c r="B17" s="356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370"/>
      <c r="P17" s="295" t="s">
        <v>23</v>
      </c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372"/>
      <c r="AG17" s="295"/>
      <c r="AH17" s="295"/>
      <c r="AI17" s="295"/>
      <c r="AJ17" s="295"/>
      <c r="AK17" s="391"/>
      <c r="AL17" s="386"/>
      <c r="AM17" s="273"/>
    </row>
    <row r="18" ht="24" customHeight="1" spans="1:39">
      <c r="A18" s="335"/>
      <c r="B18" s="356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370"/>
      <c r="P18" s="295" t="s">
        <v>24</v>
      </c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372"/>
      <c r="AG18" s="295"/>
      <c r="AH18" s="295"/>
      <c r="AI18" s="295"/>
      <c r="AJ18" s="295"/>
      <c r="AK18" s="391"/>
      <c r="AL18" s="386"/>
      <c r="AM18" s="273"/>
    </row>
    <row r="19" ht="24" customHeight="1" spans="1:39">
      <c r="A19" s="335"/>
      <c r="B19" s="357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71"/>
      <c r="P19" s="305" t="s">
        <v>25</v>
      </c>
      <c r="Q19" s="305"/>
      <c r="R19" s="305"/>
      <c r="S19" s="305"/>
      <c r="T19" s="378" t="s">
        <v>26</v>
      </c>
      <c r="U19" s="288"/>
      <c r="V19" s="288"/>
      <c r="W19" s="288"/>
      <c r="X19" s="288"/>
      <c r="Y19" s="333"/>
      <c r="Z19" s="333"/>
      <c r="AA19" s="333"/>
      <c r="AB19" s="288"/>
      <c r="AC19" s="288"/>
      <c r="AD19" s="288"/>
      <c r="AE19" s="288"/>
      <c r="AF19" s="288"/>
      <c r="AG19" s="288"/>
      <c r="AH19" s="288"/>
      <c r="AI19" s="288"/>
      <c r="AJ19" s="288"/>
      <c r="AK19" s="333"/>
      <c r="AL19" s="386"/>
      <c r="AM19" s="273"/>
    </row>
    <row r="20" ht="22.5" customHeight="1" spans="1:39">
      <c r="A20" s="335"/>
      <c r="B20" s="353" t="s">
        <v>27</v>
      </c>
      <c r="C20" s="358"/>
      <c r="D20" s="359"/>
      <c r="E20" s="358"/>
      <c r="F20" s="295" t="s">
        <v>28</v>
      </c>
      <c r="G20" s="295"/>
      <c r="H20" s="273"/>
      <c r="I20" s="273"/>
      <c r="J20" s="273"/>
      <c r="K20" s="273"/>
      <c r="L20" s="273"/>
      <c r="M20" s="273"/>
      <c r="N20" s="273"/>
      <c r="O20" s="352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0"/>
      <c r="AD20" s="290"/>
      <c r="AE20" s="290"/>
      <c r="AF20" s="290"/>
      <c r="AG20" s="290"/>
      <c r="AH20" s="290"/>
      <c r="AI20" s="290"/>
      <c r="AJ20" s="290"/>
      <c r="AK20" s="334"/>
      <c r="AL20" s="386"/>
      <c r="AM20" s="273"/>
    </row>
    <row r="21" ht="48" customHeight="1" spans="1:39">
      <c r="A21" s="335"/>
      <c r="B21" s="353"/>
      <c r="C21" s="358"/>
      <c r="D21" s="359"/>
      <c r="E21" s="358"/>
      <c r="F21" s="273"/>
      <c r="G21" s="273"/>
      <c r="H21" s="273"/>
      <c r="I21" s="273"/>
      <c r="J21" s="273"/>
      <c r="K21" s="273"/>
      <c r="L21" s="273"/>
      <c r="M21" s="273"/>
      <c r="N21" s="273"/>
      <c r="O21" s="352"/>
      <c r="P21" s="273"/>
      <c r="Q21" s="273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391"/>
      <c r="AL21" s="386"/>
      <c r="AM21" s="273"/>
    </row>
    <row r="22" ht="22.5" customHeight="1" spans="1:39">
      <c r="A22" s="335"/>
      <c r="B22" s="353"/>
      <c r="C22" s="358"/>
      <c r="D22" s="359"/>
      <c r="E22" s="358"/>
      <c r="F22" s="351"/>
      <c r="G22" s="351" t="s">
        <v>13</v>
      </c>
      <c r="H22" s="295" t="s">
        <v>29</v>
      </c>
      <c r="I22" s="295"/>
      <c r="J22" s="295"/>
      <c r="K22" s="295"/>
      <c r="L22" s="295"/>
      <c r="M22" s="295"/>
      <c r="N22" s="295"/>
      <c r="O22" s="370"/>
      <c r="P22" s="295"/>
      <c r="Q22" s="270"/>
      <c r="R22" s="270"/>
      <c r="S22" s="270"/>
      <c r="T22" s="270"/>
      <c r="U22" s="351" t="s">
        <v>13</v>
      </c>
      <c r="V22" s="295"/>
      <c r="W22" s="295" t="s">
        <v>30</v>
      </c>
      <c r="X22" s="295"/>
      <c r="Y22" s="295"/>
      <c r="Z22" s="295"/>
      <c r="AA22" s="295"/>
      <c r="AB22" s="295"/>
      <c r="AC22" s="295"/>
      <c r="AD22" s="370"/>
      <c r="AE22" s="295"/>
      <c r="AF22" s="295"/>
      <c r="AG22" s="295"/>
      <c r="AH22" s="295"/>
      <c r="AI22" s="295"/>
      <c r="AJ22" s="295"/>
      <c r="AK22" s="391"/>
      <c r="AL22" s="386"/>
      <c r="AM22" s="273"/>
    </row>
    <row r="23" ht="26.25" customHeight="1" spans="1:39">
      <c r="A23" s="335"/>
      <c r="B23" s="353"/>
      <c r="C23" s="358"/>
      <c r="D23" s="359"/>
      <c r="E23" s="358"/>
      <c r="F23" s="351"/>
      <c r="G23" s="351" t="s">
        <v>13</v>
      </c>
      <c r="H23" s="295" t="s">
        <v>31</v>
      </c>
      <c r="I23" s="295"/>
      <c r="J23" s="295"/>
      <c r="K23" s="295"/>
      <c r="L23" s="295"/>
      <c r="M23" s="295"/>
      <c r="N23" s="295"/>
      <c r="O23" s="370"/>
      <c r="P23" s="295"/>
      <c r="Q23" s="270"/>
      <c r="R23" s="270"/>
      <c r="S23" s="270"/>
      <c r="T23" s="270"/>
      <c r="U23" s="351" t="s">
        <v>13</v>
      </c>
      <c r="V23" s="295"/>
      <c r="W23" s="295" t="s">
        <v>32</v>
      </c>
      <c r="X23" s="295"/>
      <c r="Y23" s="295"/>
      <c r="Z23" s="295"/>
      <c r="AA23" s="295"/>
      <c r="AB23" s="295"/>
      <c r="AC23" s="295"/>
      <c r="AD23" s="370"/>
      <c r="AE23" s="295"/>
      <c r="AF23" s="295"/>
      <c r="AG23" s="295"/>
      <c r="AH23" s="295"/>
      <c r="AI23" s="295"/>
      <c r="AJ23" s="295"/>
      <c r="AK23" s="391"/>
      <c r="AL23" s="386"/>
      <c r="AM23" s="273"/>
    </row>
    <row r="24" ht="25.5" customHeight="1" spans="1:39">
      <c r="A24" s="335"/>
      <c r="B24" s="353"/>
      <c r="C24" s="358"/>
      <c r="D24" s="359"/>
      <c r="E24" s="358"/>
      <c r="F24" s="295"/>
      <c r="G24" s="295"/>
      <c r="H24" s="295"/>
      <c r="I24" s="295"/>
      <c r="J24" s="295"/>
      <c r="K24" s="295"/>
      <c r="L24" s="295"/>
      <c r="M24" s="295"/>
      <c r="N24" s="295"/>
      <c r="O24" s="370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391"/>
      <c r="AL24" s="386"/>
      <c r="AM24" s="273"/>
    </row>
    <row r="25" ht="25.5" customHeight="1" spans="1:39">
      <c r="A25" s="335"/>
      <c r="B25" s="353"/>
      <c r="C25" s="358"/>
      <c r="D25" s="359"/>
      <c r="E25" s="358"/>
      <c r="F25" s="295" t="s">
        <v>33</v>
      </c>
      <c r="G25" s="295"/>
      <c r="H25" s="295"/>
      <c r="I25" s="295"/>
      <c r="J25" s="295"/>
      <c r="K25" s="295"/>
      <c r="L25" s="295"/>
      <c r="M25" s="295"/>
      <c r="N25" s="295"/>
      <c r="O25" s="370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391"/>
      <c r="AL25" s="386"/>
      <c r="AM25" s="273"/>
    </row>
    <row r="26" ht="23.25" customHeight="1" spans="1:39">
      <c r="A26" s="335"/>
      <c r="B26" s="353"/>
      <c r="C26" s="358"/>
      <c r="D26" s="359"/>
      <c r="E26" s="358"/>
      <c r="F26" s="295"/>
      <c r="G26" s="295"/>
      <c r="H26" s="295"/>
      <c r="I26" s="295"/>
      <c r="J26" s="295"/>
      <c r="K26" s="295"/>
      <c r="L26" s="295"/>
      <c r="M26" s="295"/>
      <c r="N26" s="295"/>
      <c r="O26" s="370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391"/>
      <c r="AL26" s="386"/>
      <c r="AM26" s="273"/>
    </row>
    <row r="27" ht="33.75" customHeight="1" spans="1:39">
      <c r="A27" s="335"/>
      <c r="B27" s="353"/>
      <c r="C27" s="358"/>
      <c r="D27" s="359"/>
      <c r="E27" s="358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372" t="s">
        <v>34</v>
      </c>
      <c r="Q27" s="372"/>
      <c r="R27" s="372"/>
      <c r="S27" s="372"/>
      <c r="T27" s="372"/>
      <c r="U27" s="372"/>
      <c r="V27" s="372"/>
      <c r="W27" s="372"/>
      <c r="X27" s="295"/>
      <c r="Y27" s="295"/>
      <c r="Z27" s="295"/>
      <c r="AA27" s="295"/>
      <c r="AB27" s="295"/>
      <c r="AC27" s="372"/>
      <c r="AD27" s="295"/>
      <c r="AE27" s="295"/>
      <c r="AF27" s="295"/>
      <c r="AG27" s="295"/>
      <c r="AH27" s="391"/>
      <c r="AI27" s="365"/>
      <c r="AJ27" s="365"/>
      <c r="AK27" s="392"/>
      <c r="AL27" s="386"/>
      <c r="AM27" s="273"/>
    </row>
    <row r="28" ht="24" customHeight="1" spans="1:39">
      <c r="A28" s="335"/>
      <c r="B28" s="353"/>
      <c r="C28" s="358"/>
      <c r="D28" s="359"/>
      <c r="E28" s="358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 t="s">
        <v>35</v>
      </c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372"/>
      <c r="AG28" s="295"/>
      <c r="AH28" s="295"/>
      <c r="AI28" s="295"/>
      <c r="AJ28" s="295"/>
      <c r="AK28" s="391"/>
      <c r="AL28" s="386"/>
      <c r="AM28" s="273"/>
    </row>
    <row r="29" ht="24" customHeight="1" spans="1:39">
      <c r="A29" s="335"/>
      <c r="B29" s="360"/>
      <c r="C29" s="318"/>
      <c r="D29" s="361"/>
      <c r="E29" s="318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 t="s">
        <v>25</v>
      </c>
      <c r="Q29" s="362"/>
      <c r="R29" s="362"/>
      <c r="S29" s="362"/>
      <c r="T29" s="308" t="s">
        <v>26</v>
      </c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88"/>
      <c r="AI29" s="288"/>
      <c r="AJ29" s="288"/>
      <c r="AK29" s="333"/>
      <c r="AL29" s="386"/>
      <c r="AM29" s="273"/>
    </row>
    <row r="30" ht="21.75" customHeight="1" spans="1:39">
      <c r="A30" s="273"/>
      <c r="B30" s="343" t="s">
        <v>36</v>
      </c>
      <c r="C30" s="343"/>
      <c r="D30" s="343"/>
      <c r="E30" s="343"/>
      <c r="F30" s="343"/>
      <c r="G30" s="343"/>
      <c r="H30" s="363"/>
      <c r="I30" s="363"/>
      <c r="J30" s="343" t="s">
        <v>37</v>
      </c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63"/>
      <c r="Z30" s="363"/>
      <c r="AA30" s="382" t="s">
        <v>38</v>
      </c>
      <c r="AB30" s="382"/>
      <c r="AC30" s="382"/>
      <c r="AD30" s="382"/>
      <c r="AE30" s="382"/>
      <c r="AF30" s="363"/>
      <c r="AG30" s="393"/>
      <c r="AH30" s="346" t="s">
        <v>39</v>
      </c>
      <c r="AI30" s="346"/>
      <c r="AJ30" s="270"/>
      <c r="AK30" s="270"/>
      <c r="AL30" s="273"/>
      <c r="AM30" s="273"/>
    </row>
    <row r="31" ht="7.5" customHeight="1" spans="1:39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402"/>
      <c r="AG31" s="402"/>
      <c r="AH31" s="273"/>
      <c r="AI31" s="273"/>
      <c r="AJ31" s="273"/>
      <c r="AK31" s="273"/>
      <c r="AL31" s="273"/>
      <c r="AM31" s="273"/>
    </row>
  </sheetData>
  <mergeCells count="85">
    <mergeCell ref="B1:F1"/>
    <mergeCell ref="G1:P1"/>
    <mergeCell ref="Q1:S1"/>
    <mergeCell ref="T1:AK1"/>
    <mergeCell ref="B2:AK2"/>
    <mergeCell ref="B3:N3"/>
    <mergeCell ref="O3:P3"/>
    <mergeCell ref="R3:T3"/>
    <mergeCell ref="U3:W3"/>
    <mergeCell ref="X3:Y3"/>
    <mergeCell ref="Z3:AA3"/>
    <mergeCell ref="AB3:AK3"/>
    <mergeCell ref="B4:G4"/>
    <mergeCell ref="H4:X4"/>
    <mergeCell ref="Y4:AC4"/>
    <mergeCell ref="AD4:AK4"/>
    <mergeCell ref="B5:AK5"/>
    <mergeCell ref="B6:G6"/>
    <mergeCell ref="H6:Y6"/>
    <mergeCell ref="Z6:AK6"/>
    <mergeCell ref="D7:J7"/>
    <mergeCell ref="K7:O7"/>
    <mergeCell ref="Q7:R7"/>
    <mergeCell ref="T7:AK7"/>
    <mergeCell ref="C8:AK8"/>
    <mergeCell ref="B9:D9"/>
    <mergeCell ref="E9:F9"/>
    <mergeCell ref="G9:H9"/>
    <mergeCell ref="I9:W9"/>
    <mergeCell ref="X9:AK9"/>
    <mergeCell ref="B10:F10"/>
    <mergeCell ref="G10:H10"/>
    <mergeCell ref="I10:W10"/>
    <mergeCell ref="X10:AK10"/>
    <mergeCell ref="B11:F11"/>
    <mergeCell ref="G11:H11"/>
    <mergeCell ref="I11:W11"/>
    <mergeCell ref="X11:AK11"/>
    <mergeCell ref="B12:F12"/>
    <mergeCell ref="G12:H12"/>
    <mergeCell ref="I12:W12"/>
    <mergeCell ref="X12:AK12"/>
    <mergeCell ref="P17:Z17"/>
    <mergeCell ref="AA17:AK17"/>
    <mergeCell ref="P18:V18"/>
    <mergeCell ref="W18:AB18"/>
    <mergeCell ref="AC18:AK18"/>
    <mergeCell ref="P19:S19"/>
    <mergeCell ref="T19:AB19"/>
    <mergeCell ref="AC19:AK19"/>
    <mergeCell ref="F20:AK20"/>
    <mergeCell ref="F21:AK21"/>
    <mergeCell ref="H22:P22"/>
    <mergeCell ref="Q22:T22"/>
    <mergeCell ref="U22:V22"/>
    <mergeCell ref="W22:AK22"/>
    <mergeCell ref="H23:P23"/>
    <mergeCell ref="Q23:T23"/>
    <mergeCell ref="U23:V23"/>
    <mergeCell ref="W23:AK23"/>
    <mergeCell ref="F24:AK24"/>
    <mergeCell ref="F25:AK25"/>
    <mergeCell ref="F26:AK26"/>
    <mergeCell ref="P27:W27"/>
    <mergeCell ref="X27:AK27"/>
    <mergeCell ref="P28:V28"/>
    <mergeCell ref="W28:AB28"/>
    <mergeCell ref="AC28:AK28"/>
    <mergeCell ref="P29:S29"/>
    <mergeCell ref="T29:AB29"/>
    <mergeCell ref="AC29:AK29"/>
    <mergeCell ref="B30:G30"/>
    <mergeCell ref="H30:I30"/>
    <mergeCell ref="J30:X30"/>
    <mergeCell ref="Y30:Z30"/>
    <mergeCell ref="AA30:AE30"/>
    <mergeCell ref="AF30:AG30"/>
    <mergeCell ref="AH30:AI30"/>
    <mergeCell ref="A31:AL31"/>
    <mergeCell ref="A1:A30"/>
    <mergeCell ref="AL1:AL30"/>
    <mergeCell ref="B13:AK16"/>
    <mergeCell ref="B17:O19"/>
    <mergeCell ref="B20:E29"/>
    <mergeCell ref="F27:O29"/>
  </mergeCells>
  <pageMargins left="0.75" right="0" top="1" bottom="0" header="0.5" footer="0.5"/>
  <pageSetup paperSize="9" scale="93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view="pageBreakPreview" zoomScale="130" zoomScaleNormal="100" topLeftCell="B1" workbookViewId="0">
      <selection activeCell="Q13" sqref="Q13:Z13"/>
    </sheetView>
  </sheetViews>
  <sheetFormatPr defaultColWidth="9.24761904761905" defaultRowHeight="12"/>
  <cols>
    <col min="1" max="1" width="0.714285714285714" customWidth="1"/>
    <col min="2" max="4" width="3.13333333333333" customWidth="1"/>
    <col min="5" max="16" width="3" customWidth="1"/>
    <col min="17" max="26" width="3.56190476190476" customWidth="1"/>
    <col min="27" max="30" width="2.42857142857143" customWidth="1"/>
    <col min="31" max="34" width="2.28571428571429" customWidth="1"/>
    <col min="35" max="35" width="0.714285714285714" customWidth="1"/>
  </cols>
  <sheetData>
    <row r="1" ht="3.75" customHeight="1" spans="1:35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</row>
    <row r="2" ht="45" customHeight="1" spans="1:35">
      <c r="A2" s="270"/>
      <c r="B2" s="271" t="s">
        <v>40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0"/>
    </row>
    <row r="3" ht="26.25" customHeight="1" spans="1:35">
      <c r="A3" s="270"/>
      <c r="B3" s="273" t="s">
        <v>41</v>
      </c>
      <c r="C3" s="272"/>
      <c r="D3" s="272"/>
      <c r="E3" s="272"/>
      <c r="F3" s="594" t="s">
        <v>9</v>
      </c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 t="s">
        <v>10</v>
      </c>
      <c r="Z3" s="594"/>
      <c r="AA3" s="594"/>
      <c r="AB3" s="594"/>
      <c r="AC3" s="594"/>
      <c r="AD3" s="594"/>
      <c r="AE3" s="594"/>
      <c r="AF3" s="594"/>
      <c r="AG3" s="594"/>
      <c r="AH3" s="594"/>
      <c r="AI3" s="270"/>
    </row>
    <row r="4" ht="30" customHeight="1" spans="1:35">
      <c r="A4" s="275"/>
      <c r="B4" s="276" t="s">
        <v>42</v>
      </c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300" t="s">
        <v>43</v>
      </c>
      <c r="N4" s="301"/>
      <c r="O4" s="301"/>
      <c r="P4" s="301"/>
      <c r="Q4" s="301"/>
      <c r="R4" s="301"/>
      <c r="S4" s="301"/>
      <c r="T4" s="301"/>
      <c r="U4" s="301"/>
      <c r="V4" s="281"/>
      <c r="W4" s="277" t="s">
        <v>44</v>
      </c>
      <c r="X4" s="277"/>
      <c r="Y4" s="277"/>
      <c r="Z4" s="277"/>
      <c r="AA4" s="298"/>
      <c r="AB4" s="299"/>
      <c r="AC4" s="299"/>
      <c r="AD4" s="299"/>
      <c r="AE4" s="299"/>
      <c r="AF4" s="299"/>
      <c r="AG4" s="299"/>
      <c r="AH4" s="327"/>
      <c r="AI4" s="270"/>
    </row>
    <row r="5" ht="30" customHeight="1" spans="1:35">
      <c r="A5" s="275"/>
      <c r="B5" s="278" t="s">
        <v>45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300" t="s">
        <v>46</v>
      </c>
      <c r="N5" s="301"/>
      <c r="O5" s="301"/>
      <c r="P5" s="301"/>
      <c r="Q5" s="301"/>
      <c r="R5" s="301"/>
      <c r="S5" s="301"/>
      <c r="T5" s="301"/>
      <c r="U5" s="301"/>
      <c r="V5" s="281"/>
      <c r="W5" s="279" t="s">
        <v>47</v>
      </c>
      <c r="X5" s="279"/>
      <c r="Y5" s="279"/>
      <c r="Z5" s="279"/>
      <c r="AA5" s="320" t="s">
        <v>26</v>
      </c>
      <c r="AB5" s="301"/>
      <c r="AC5" s="301"/>
      <c r="AD5" s="301"/>
      <c r="AE5" s="301"/>
      <c r="AF5" s="301"/>
      <c r="AG5" s="301"/>
      <c r="AH5" s="328"/>
      <c r="AI5" s="270"/>
    </row>
    <row r="6" ht="23" customHeight="1" spans="1:35">
      <c r="A6" s="275"/>
      <c r="B6" s="278" t="s">
        <v>48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302" t="s">
        <v>49</v>
      </c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11" t="s">
        <v>0</v>
      </c>
      <c r="Z6" s="311"/>
      <c r="AA6" s="311"/>
      <c r="AB6" s="311"/>
      <c r="AC6" s="311"/>
      <c r="AD6" s="311"/>
      <c r="AE6" s="311"/>
      <c r="AF6" s="311"/>
      <c r="AG6" s="311"/>
      <c r="AH6" s="329"/>
      <c r="AI6" s="270"/>
    </row>
    <row r="7" ht="26.25" customHeight="1" spans="1:35">
      <c r="A7" s="275"/>
      <c r="B7" s="280" t="s">
        <v>50</v>
      </c>
      <c r="C7" s="281"/>
      <c r="D7" s="279" t="s">
        <v>51</v>
      </c>
      <c r="E7" s="279"/>
      <c r="F7" s="279"/>
      <c r="G7" s="279"/>
      <c r="H7" s="279"/>
      <c r="I7" s="279"/>
      <c r="J7" s="279"/>
      <c r="K7" s="279"/>
      <c r="L7" s="279"/>
      <c r="M7" s="279" t="s">
        <v>52</v>
      </c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300" t="s">
        <v>53</v>
      </c>
      <c r="AB7" s="301"/>
      <c r="AC7" s="301"/>
      <c r="AD7" s="301"/>
      <c r="AE7" s="301"/>
      <c r="AF7" s="301"/>
      <c r="AG7" s="301"/>
      <c r="AH7" s="328"/>
      <c r="AI7" s="270"/>
    </row>
    <row r="8" ht="78.75" customHeight="1" spans="1:35">
      <c r="A8" s="275"/>
      <c r="B8" s="280">
        <v>1</v>
      </c>
      <c r="C8" s="281"/>
      <c r="D8" s="279" t="s">
        <v>54</v>
      </c>
      <c r="E8" s="279"/>
      <c r="F8" s="279"/>
      <c r="G8" s="279"/>
      <c r="H8" s="279"/>
      <c r="I8" s="279"/>
      <c r="J8" s="279"/>
      <c r="K8" s="279"/>
      <c r="L8" s="279"/>
      <c r="M8" s="397" t="s">
        <v>55</v>
      </c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21" t="s">
        <v>56</v>
      </c>
      <c r="AB8" s="322"/>
      <c r="AC8" s="322"/>
      <c r="AD8" s="322"/>
      <c r="AE8" s="322"/>
      <c r="AF8" s="322"/>
      <c r="AG8" s="322"/>
      <c r="AH8" s="330"/>
      <c r="AI8" s="270"/>
    </row>
    <row r="9" ht="39" customHeight="1" spans="1:35">
      <c r="A9" s="275"/>
      <c r="B9" s="280">
        <v>2</v>
      </c>
      <c r="C9" s="281"/>
      <c r="D9" s="279" t="s">
        <v>57</v>
      </c>
      <c r="E9" s="279"/>
      <c r="F9" s="279"/>
      <c r="G9" s="279"/>
      <c r="H9" s="279"/>
      <c r="I9" s="279"/>
      <c r="J9" s="279"/>
      <c r="K9" s="279"/>
      <c r="L9" s="279"/>
      <c r="M9" s="397" t="s">
        <v>58</v>
      </c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  <c r="AA9" s="321" t="s">
        <v>56</v>
      </c>
      <c r="AB9" s="322"/>
      <c r="AC9" s="322"/>
      <c r="AD9" s="322"/>
      <c r="AE9" s="322"/>
      <c r="AF9" s="322"/>
      <c r="AG9" s="322"/>
      <c r="AH9" s="330"/>
      <c r="AI9" s="270"/>
    </row>
    <row r="10" ht="39.75" customHeight="1" spans="1:35">
      <c r="A10" s="275"/>
      <c r="B10" s="280">
        <v>3</v>
      </c>
      <c r="C10" s="281"/>
      <c r="D10" s="279" t="s">
        <v>59</v>
      </c>
      <c r="E10" s="279"/>
      <c r="F10" s="279"/>
      <c r="G10" s="279"/>
      <c r="H10" s="279"/>
      <c r="I10" s="279"/>
      <c r="J10" s="279"/>
      <c r="K10" s="279"/>
      <c r="L10" s="279"/>
      <c r="M10" s="397" t="s">
        <v>60</v>
      </c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7"/>
      <c r="AA10" s="321" t="s">
        <v>56</v>
      </c>
      <c r="AB10" s="322"/>
      <c r="AC10" s="322"/>
      <c r="AD10" s="322"/>
      <c r="AE10" s="322"/>
      <c r="AF10" s="322"/>
      <c r="AG10" s="322"/>
      <c r="AH10" s="330"/>
      <c r="AI10" s="270"/>
    </row>
    <row r="11" ht="26.25" customHeight="1" spans="1:35">
      <c r="A11" s="275"/>
      <c r="B11" s="280" t="s">
        <v>50</v>
      </c>
      <c r="C11" s="281"/>
      <c r="D11" s="279" t="s">
        <v>61</v>
      </c>
      <c r="E11" s="279"/>
      <c r="F11" s="279"/>
      <c r="G11" s="279"/>
      <c r="H11" s="279"/>
      <c r="I11" s="279"/>
      <c r="J11" s="279"/>
      <c r="K11" s="279"/>
      <c r="L11" s="279"/>
      <c r="M11" s="279" t="s">
        <v>62</v>
      </c>
      <c r="N11" s="279"/>
      <c r="O11" s="279"/>
      <c r="P11" s="279"/>
      <c r="Q11" s="279" t="s">
        <v>63</v>
      </c>
      <c r="R11" s="279"/>
      <c r="S11" s="279"/>
      <c r="T11" s="279"/>
      <c r="U11" s="279"/>
      <c r="V11" s="279"/>
      <c r="W11" s="279"/>
      <c r="X11" s="279"/>
      <c r="Y11" s="279"/>
      <c r="Z11" s="279"/>
      <c r="AA11" s="300" t="s">
        <v>64</v>
      </c>
      <c r="AB11" s="301"/>
      <c r="AC11" s="301"/>
      <c r="AD11" s="301"/>
      <c r="AE11" s="301"/>
      <c r="AF11" s="301"/>
      <c r="AG11" s="301"/>
      <c r="AH11" s="328"/>
      <c r="AI11" s="270"/>
    </row>
    <row r="12" ht="37.5" customHeight="1" spans="1:35">
      <c r="A12" s="275"/>
      <c r="B12" s="280">
        <v>1</v>
      </c>
      <c r="C12" s="281"/>
      <c r="D12" s="279" t="s">
        <v>65</v>
      </c>
      <c r="E12" s="279"/>
      <c r="F12" s="279"/>
      <c r="G12" s="279"/>
      <c r="H12" s="279"/>
      <c r="I12" s="279"/>
      <c r="J12" s="279"/>
      <c r="K12" s="279"/>
      <c r="L12" s="279"/>
      <c r="M12" s="279" t="s">
        <v>66</v>
      </c>
      <c r="N12" s="279"/>
      <c r="O12" s="279"/>
      <c r="P12" s="279"/>
      <c r="Q12" s="312" t="s">
        <v>67</v>
      </c>
      <c r="R12" s="312" t="s">
        <v>67</v>
      </c>
      <c r="S12" s="312" t="s">
        <v>67</v>
      </c>
      <c r="T12" s="312" t="s">
        <v>67</v>
      </c>
      <c r="U12" s="312" t="s">
        <v>67</v>
      </c>
      <c r="V12" s="312" t="s">
        <v>67</v>
      </c>
      <c r="W12" s="312" t="s">
        <v>67</v>
      </c>
      <c r="X12" s="312" t="s">
        <v>67</v>
      </c>
      <c r="Y12" s="312" t="s">
        <v>67</v>
      </c>
      <c r="Z12" s="312" t="s">
        <v>67</v>
      </c>
      <c r="AA12" s="323">
        <f>(COUNTIF(Q12:Z12,"&gt;=30")/COUNTA(Q12:Z12))*100%</f>
        <v>0</v>
      </c>
      <c r="AB12" s="324"/>
      <c r="AC12" s="324"/>
      <c r="AD12" s="324"/>
      <c r="AE12" s="324"/>
      <c r="AF12" s="324"/>
      <c r="AG12" s="324"/>
      <c r="AH12" s="331"/>
      <c r="AI12" s="270"/>
    </row>
    <row r="13" ht="37.5" customHeight="1" spans="1:35">
      <c r="A13" s="275"/>
      <c r="B13" s="280">
        <v>2</v>
      </c>
      <c r="C13" s="281"/>
      <c r="D13" s="279" t="s">
        <v>68</v>
      </c>
      <c r="E13" s="279"/>
      <c r="F13" s="279"/>
      <c r="G13" s="279"/>
      <c r="H13" s="279"/>
      <c r="I13" s="279"/>
      <c r="J13" s="279"/>
      <c r="K13" s="279"/>
      <c r="L13" s="279"/>
      <c r="M13" s="279" t="s">
        <v>69</v>
      </c>
      <c r="N13" s="279"/>
      <c r="O13" s="279"/>
      <c r="P13" s="279"/>
      <c r="Q13" s="312" t="s">
        <v>70</v>
      </c>
      <c r="R13" s="312" t="s">
        <v>70</v>
      </c>
      <c r="S13" s="312" t="s">
        <v>70</v>
      </c>
      <c r="T13" s="312" t="s">
        <v>70</v>
      </c>
      <c r="U13" s="312" t="s">
        <v>70</v>
      </c>
      <c r="V13" s="312" t="s">
        <v>70</v>
      </c>
      <c r="W13" s="312" t="s">
        <v>70</v>
      </c>
      <c r="X13" s="312" t="s">
        <v>70</v>
      </c>
      <c r="Y13" s="312" t="s">
        <v>70</v>
      </c>
      <c r="Z13" s="312" t="s">
        <v>70</v>
      </c>
      <c r="AA13" s="323">
        <f>(COUNTIF(Q13:Z13,"&gt;=90")/COUNTA(Q13:Z13))*100%</f>
        <v>0</v>
      </c>
      <c r="AB13" s="324"/>
      <c r="AC13" s="324"/>
      <c r="AD13" s="324"/>
      <c r="AE13" s="324"/>
      <c r="AF13" s="324"/>
      <c r="AG13" s="324"/>
      <c r="AH13" s="331"/>
      <c r="AI13" s="270"/>
    </row>
    <row r="14" ht="30" customHeight="1" spans="1:35">
      <c r="A14" s="275"/>
      <c r="B14" s="280">
        <v>3</v>
      </c>
      <c r="C14" s="281"/>
      <c r="D14" s="279" t="s">
        <v>71</v>
      </c>
      <c r="E14" s="279"/>
      <c r="F14" s="279"/>
      <c r="G14" s="279"/>
      <c r="H14" s="279"/>
      <c r="I14" s="279"/>
      <c r="J14" s="279"/>
      <c r="K14" s="279"/>
      <c r="L14" s="279"/>
      <c r="M14" s="279" t="s">
        <v>66</v>
      </c>
      <c r="N14" s="279"/>
      <c r="O14" s="279"/>
      <c r="P14" s="279"/>
      <c r="Q14" s="312" t="s">
        <v>67</v>
      </c>
      <c r="R14" s="312" t="s">
        <v>67</v>
      </c>
      <c r="S14" s="312" t="s">
        <v>67</v>
      </c>
      <c r="T14" s="312" t="s">
        <v>67</v>
      </c>
      <c r="U14" s="312" t="s">
        <v>67</v>
      </c>
      <c r="V14" s="312" t="s">
        <v>67</v>
      </c>
      <c r="W14" s="312" t="s">
        <v>67</v>
      </c>
      <c r="X14" s="312" t="s">
        <v>67</v>
      </c>
      <c r="Y14" s="312" t="s">
        <v>67</v>
      </c>
      <c r="Z14" s="312" t="s">
        <v>67</v>
      </c>
      <c r="AA14" s="323">
        <f>(COUNTIF(Q14:Z14,"&gt;=30")/COUNTA(Q14:Z14))*100%</f>
        <v>0</v>
      </c>
      <c r="AB14" s="324"/>
      <c r="AC14" s="324"/>
      <c r="AD14" s="324"/>
      <c r="AE14" s="324"/>
      <c r="AF14" s="324"/>
      <c r="AG14" s="324"/>
      <c r="AH14" s="331"/>
      <c r="AI14" s="270"/>
    </row>
    <row r="15" ht="28" customHeight="1" spans="1:35">
      <c r="A15" s="275"/>
      <c r="B15" s="280">
        <v>4</v>
      </c>
      <c r="C15" s="281"/>
      <c r="D15" s="279" t="s">
        <v>72</v>
      </c>
      <c r="E15" s="279"/>
      <c r="F15" s="279"/>
      <c r="G15" s="279"/>
      <c r="H15" s="279"/>
      <c r="I15" s="279"/>
      <c r="J15" s="279"/>
      <c r="K15" s="279"/>
      <c r="L15" s="279"/>
      <c r="M15" s="279" t="s">
        <v>73</v>
      </c>
      <c r="N15" s="279"/>
      <c r="O15" s="279"/>
      <c r="P15" s="279"/>
      <c r="Q15" s="312" t="s">
        <v>74</v>
      </c>
      <c r="R15" s="312" t="s">
        <v>74</v>
      </c>
      <c r="S15" s="312" t="s">
        <v>74</v>
      </c>
      <c r="T15" s="312" t="s">
        <v>74</v>
      </c>
      <c r="U15" s="312" t="s">
        <v>74</v>
      </c>
      <c r="V15" s="312" t="s">
        <v>74</v>
      </c>
      <c r="W15" s="312" t="s">
        <v>74</v>
      </c>
      <c r="X15" s="312" t="s">
        <v>74</v>
      </c>
      <c r="Y15" s="312" t="s">
        <v>74</v>
      </c>
      <c r="Z15" s="312" t="s">
        <v>74</v>
      </c>
      <c r="AA15" s="323">
        <f>(COUNTIF(Q15:Z15,"&gt;85")/COUNTA(Q15:Z15))*100%</f>
        <v>0</v>
      </c>
      <c r="AB15" s="324"/>
      <c r="AC15" s="324"/>
      <c r="AD15" s="324"/>
      <c r="AE15" s="324"/>
      <c r="AF15" s="324"/>
      <c r="AG15" s="324"/>
      <c r="AH15" s="331"/>
      <c r="AI15" s="270"/>
    </row>
    <row r="16" ht="30" customHeight="1" spans="1:35">
      <c r="A16" s="275"/>
      <c r="B16" s="280">
        <v>5</v>
      </c>
      <c r="C16" s="281"/>
      <c r="D16" s="279" t="s">
        <v>75</v>
      </c>
      <c r="E16" s="279"/>
      <c r="F16" s="279"/>
      <c r="G16" s="279"/>
      <c r="H16" s="279"/>
      <c r="I16" s="279"/>
      <c r="J16" s="279"/>
      <c r="K16" s="279"/>
      <c r="L16" s="279"/>
      <c r="M16" s="279" t="s">
        <v>76</v>
      </c>
      <c r="N16" s="279"/>
      <c r="O16" s="279"/>
      <c r="P16" s="279"/>
      <c r="Q16" s="312" t="s">
        <v>77</v>
      </c>
      <c r="R16" s="312" t="s">
        <v>77</v>
      </c>
      <c r="S16" s="312" t="s">
        <v>77</v>
      </c>
      <c r="T16" s="312" t="s">
        <v>77</v>
      </c>
      <c r="U16" s="312" t="s">
        <v>77</v>
      </c>
      <c r="V16" s="312" t="s">
        <v>77</v>
      </c>
      <c r="W16" s="312" t="s">
        <v>77</v>
      </c>
      <c r="X16" s="312" t="s">
        <v>77</v>
      </c>
      <c r="Y16" s="312" t="s">
        <v>77</v>
      </c>
      <c r="Z16" s="312" t="s">
        <v>77</v>
      </c>
      <c r="AA16" s="323">
        <f>(COUNTIF(Q16:Z16,"&lt;=10")/COUNTA(Q16:Z16))*100%</f>
        <v>0</v>
      </c>
      <c r="AB16" s="324"/>
      <c r="AC16" s="324"/>
      <c r="AD16" s="324"/>
      <c r="AE16" s="324"/>
      <c r="AF16" s="324"/>
      <c r="AG16" s="324"/>
      <c r="AH16" s="331"/>
      <c r="AI16" s="270"/>
    </row>
    <row r="17" ht="26.25" customHeight="1" spans="1:35">
      <c r="A17" s="275"/>
      <c r="B17" s="282" t="s">
        <v>78</v>
      </c>
      <c r="C17" s="283"/>
      <c r="D17" s="284"/>
      <c r="E17" s="285">
        <v>50</v>
      </c>
      <c r="F17" s="285"/>
      <c r="G17" s="286" t="s">
        <v>79</v>
      </c>
      <c r="H17" s="286"/>
      <c r="I17" s="286"/>
      <c r="J17" s="286"/>
      <c r="K17" s="285">
        <f>SUM(AA12:AH16)*10</f>
        <v>0</v>
      </c>
      <c r="L17" s="285"/>
      <c r="M17" s="304" t="s">
        <v>80</v>
      </c>
      <c r="N17" s="304"/>
      <c r="O17" s="304"/>
      <c r="P17" s="304"/>
      <c r="Q17" s="595">
        <f>AVERAGE(AA12:AH16)*100</f>
        <v>0</v>
      </c>
      <c r="R17" s="595"/>
      <c r="S17" s="314" t="s">
        <v>81</v>
      </c>
      <c r="T17" s="315"/>
      <c r="U17" s="315"/>
      <c r="V17" s="315"/>
      <c r="W17" s="315"/>
      <c r="X17" s="315"/>
      <c r="Y17" s="315"/>
      <c r="Z17" s="315"/>
      <c r="AA17" s="325"/>
      <c r="AB17" s="326"/>
      <c r="AC17" s="326"/>
      <c r="AD17" s="326"/>
      <c r="AE17" s="326"/>
      <c r="AF17" s="326"/>
      <c r="AG17" s="326"/>
      <c r="AH17" s="332"/>
      <c r="AI17" s="270"/>
    </row>
    <row r="18" ht="3.75" customHeight="1" spans="1:35">
      <c r="A18" s="275"/>
      <c r="B18" s="287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333"/>
      <c r="AI18" s="270"/>
    </row>
    <row r="19" ht="21" customHeight="1" spans="1:35">
      <c r="A19" s="275"/>
      <c r="B19" s="289" t="s">
        <v>82</v>
      </c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334"/>
      <c r="AI19" s="270"/>
    </row>
    <row r="20" ht="21" customHeight="1" spans="1:35">
      <c r="A20" s="275"/>
      <c r="B20" s="287"/>
      <c r="C20" s="288"/>
      <c r="D20" s="288"/>
      <c r="E20" s="288"/>
      <c r="F20" s="288"/>
      <c r="G20" s="288"/>
      <c r="H20" s="291" t="s">
        <v>13</v>
      </c>
      <c r="I20" s="288" t="s">
        <v>83</v>
      </c>
      <c r="J20" s="288"/>
      <c r="K20" s="288"/>
      <c r="L20" s="288"/>
      <c r="M20" s="291" t="s">
        <v>13</v>
      </c>
      <c r="N20" s="305" t="s">
        <v>84</v>
      </c>
      <c r="O20" s="305"/>
      <c r="P20" s="305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333"/>
      <c r="AI20" s="270"/>
    </row>
    <row r="21" ht="26.25" customHeight="1" spans="1:35">
      <c r="A21" s="275"/>
      <c r="B21" s="278" t="s">
        <v>85</v>
      </c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300" t="s">
        <v>86</v>
      </c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28"/>
      <c r="AI21" s="270"/>
    </row>
    <row r="22" ht="26.25" customHeight="1" spans="1:35">
      <c r="A22" s="275"/>
      <c r="B22" s="289" t="s">
        <v>87</v>
      </c>
      <c r="C22" s="290"/>
      <c r="D22" s="290"/>
      <c r="E22" s="292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316" t="s">
        <v>88</v>
      </c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334"/>
      <c r="AI22" s="270"/>
    </row>
    <row r="23" ht="26.25" customHeight="1" spans="1:35">
      <c r="A23" s="275"/>
      <c r="B23" s="294" t="s">
        <v>89</v>
      </c>
      <c r="C23" s="295"/>
      <c r="D23" s="295"/>
      <c r="E23" s="295"/>
      <c r="F23" s="295"/>
      <c r="G23" s="273"/>
      <c r="H23" s="273"/>
      <c r="I23" s="306"/>
      <c r="J23" s="307"/>
      <c r="K23" s="307"/>
      <c r="L23" s="307"/>
      <c r="M23" s="307"/>
      <c r="N23" s="307"/>
      <c r="O23" s="307"/>
      <c r="P23" s="307"/>
      <c r="Q23" s="307"/>
      <c r="R23" s="317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335"/>
      <c r="AI23" s="270"/>
    </row>
    <row r="24" ht="26.25" customHeight="1" spans="1:35">
      <c r="A24" s="275"/>
      <c r="B24" s="296"/>
      <c r="C24" s="297"/>
      <c r="D24" s="297"/>
      <c r="E24" s="297"/>
      <c r="F24" s="297"/>
      <c r="G24" s="297"/>
      <c r="H24" s="297"/>
      <c r="I24" s="297"/>
      <c r="J24" s="308" t="s">
        <v>26</v>
      </c>
      <c r="K24" s="297"/>
      <c r="L24" s="297"/>
      <c r="M24" s="297"/>
      <c r="N24" s="297"/>
      <c r="O24" s="297"/>
      <c r="P24" s="297"/>
      <c r="Q24" s="318"/>
      <c r="R24" s="319"/>
      <c r="S24" s="297"/>
      <c r="T24" s="297"/>
      <c r="U24" s="297"/>
      <c r="V24" s="297"/>
      <c r="W24" s="297"/>
      <c r="X24" s="297"/>
      <c r="Y24" s="297"/>
      <c r="Z24" s="308" t="s">
        <v>26</v>
      </c>
      <c r="AA24" s="297"/>
      <c r="AB24" s="297"/>
      <c r="AC24" s="297"/>
      <c r="AD24" s="297"/>
      <c r="AE24" s="297"/>
      <c r="AF24" s="297"/>
      <c r="AG24" s="297"/>
      <c r="AH24" s="336"/>
      <c r="AI24" s="270"/>
    </row>
    <row r="25" ht="22.5" customHeight="1" spans="1:35">
      <c r="A25" s="270"/>
      <c r="B25" s="295" t="s">
        <v>90</v>
      </c>
      <c r="C25" s="295"/>
      <c r="D25" s="295"/>
      <c r="E25" s="295"/>
      <c r="F25" s="295"/>
      <c r="G25" s="295"/>
      <c r="H25" s="295"/>
      <c r="I25" s="295"/>
      <c r="J25" s="309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309"/>
      <c r="AB25" s="295"/>
      <c r="AC25" s="295"/>
      <c r="AD25" s="295"/>
      <c r="AE25" s="295"/>
      <c r="AF25" s="295"/>
      <c r="AG25" s="295"/>
      <c r="AH25" s="295"/>
      <c r="AI25" s="270"/>
    </row>
    <row r="26" ht="3.75" customHeight="1" spans="1:35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</row>
  </sheetData>
  <mergeCells count="88">
    <mergeCell ref="B1:AH1"/>
    <mergeCell ref="B2:AH2"/>
    <mergeCell ref="B3:E3"/>
    <mergeCell ref="F3:X3"/>
    <mergeCell ref="Y3:AH3"/>
    <mergeCell ref="B4:L4"/>
    <mergeCell ref="M4:V4"/>
    <mergeCell ref="W4:Z4"/>
    <mergeCell ref="AA4:AH4"/>
    <mergeCell ref="B5:L5"/>
    <mergeCell ref="M5:V5"/>
    <mergeCell ref="W5:Z5"/>
    <mergeCell ref="AA5:AH5"/>
    <mergeCell ref="B6:L6"/>
    <mergeCell ref="M6:X6"/>
    <mergeCell ref="Y6:AH6"/>
    <mergeCell ref="B7:C7"/>
    <mergeCell ref="D7:L7"/>
    <mergeCell ref="M7:Z7"/>
    <mergeCell ref="AA7:AH7"/>
    <mergeCell ref="B8:C8"/>
    <mergeCell ref="D8:L8"/>
    <mergeCell ref="M8:Z8"/>
    <mergeCell ref="AA8:AH8"/>
    <mergeCell ref="B9:C9"/>
    <mergeCell ref="D9:L9"/>
    <mergeCell ref="M9:Z9"/>
    <mergeCell ref="AA9:AH9"/>
    <mergeCell ref="B10:C10"/>
    <mergeCell ref="D10:L10"/>
    <mergeCell ref="M10:Z10"/>
    <mergeCell ref="AA10:AH10"/>
    <mergeCell ref="B11:C11"/>
    <mergeCell ref="D11:L11"/>
    <mergeCell ref="M11:P11"/>
    <mergeCell ref="Q11:Z11"/>
    <mergeCell ref="AA11:AH11"/>
    <mergeCell ref="B12:C12"/>
    <mergeCell ref="D12:L12"/>
    <mergeCell ref="M12:P12"/>
    <mergeCell ref="AA12:AH12"/>
    <mergeCell ref="B13:C13"/>
    <mergeCell ref="D13:L13"/>
    <mergeCell ref="M13:P13"/>
    <mergeCell ref="AA13:AH13"/>
    <mergeCell ref="B14:C14"/>
    <mergeCell ref="D14:L14"/>
    <mergeCell ref="M14:P14"/>
    <mergeCell ref="AA14:AH14"/>
    <mergeCell ref="B15:C15"/>
    <mergeCell ref="D15:L15"/>
    <mergeCell ref="M15:P15"/>
    <mergeCell ref="AA15:AH15"/>
    <mergeCell ref="B16:C16"/>
    <mergeCell ref="D16:L16"/>
    <mergeCell ref="M16:P16"/>
    <mergeCell ref="AA16:AH16"/>
    <mergeCell ref="B17:D17"/>
    <mergeCell ref="E17:F17"/>
    <mergeCell ref="G17:J17"/>
    <mergeCell ref="K17:L17"/>
    <mergeCell ref="M17:P17"/>
    <mergeCell ref="Q17:R17"/>
    <mergeCell ref="S17:AH17"/>
    <mergeCell ref="B18:AH18"/>
    <mergeCell ref="B19:AH19"/>
    <mergeCell ref="B20:G20"/>
    <mergeCell ref="I20:J20"/>
    <mergeCell ref="K20:L20"/>
    <mergeCell ref="N20:P20"/>
    <mergeCell ref="Q20:AH20"/>
    <mergeCell ref="B21:Q21"/>
    <mergeCell ref="R21:AH21"/>
    <mergeCell ref="B22:D22"/>
    <mergeCell ref="E22:Q22"/>
    <mergeCell ref="R22:U22"/>
    <mergeCell ref="V22:AH22"/>
    <mergeCell ref="B23:H23"/>
    <mergeCell ref="I23:Q23"/>
    <mergeCell ref="R23:AH23"/>
    <mergeCell ref="B24:I24"/>
    <mergeCell ref="J24:Q24"/>
    <mergeCell ref="R24:Y24"/>
    <mergeCell ref="Z24:AH24"/>
    <mergeCell ref="B25:AH25"/>
    <mergeCell ref="B26:AH26"/>
    <mergeCell ref="A1:A26"/>
    <mergeCell ref="AI1:AI26"/>
  </mergeCells>
  <pageMargins left="0.75" right="0.2" top="1" bottom="0.61" header="0.5" footer="0.5"/>
  <pageSetup paperSize="9" scale="94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3"/>
  <sheetViews>
    <sheetView view="pageBreakPreview" zoomScaleNormal="100" workbookViewId="0">
      <selection activeCell="E9" sqref="E9:O9"/>
    </sheetView>
  </sheetViews>
  <sheetFormatPr defaultColWidth="9.13333333333333" defaultRowHeight="12"/>
  <cols>
    <col min="1" max="1" width="0.838095238095238" customWidth="1"/>
    <col min="2" max="2" width="2.71428571428571" customWidth="1"/>
    <col min="3" max="3" width="2" customWidth="1"/>
    <col min="4" max="6" width="2.71428571428571" customWidth="1"/>
    <col min="7" max="7" width="2.83809523809524" customWidth="1"/>
    <col min="8" max="8" width="3.13333333333333" customWidth="1"/>
    <col min="9" max="9" width="2.71428571428571" customWidth="1"/>
    <col min="10" max="12" width="2.83809523809524" customWidth="1"/>
    <col min="13" max="13" width="2.13333333333333" customWidth="1"/>
    <col min="14" max="14" width="2.83809523809524" customWidth="1"/>
    <col min="15" max="15" width="4.28571428571429" customWidth="1"/>
    <col min="16" max="16" width="3" customWidth="1"/>
    <col min="17" max="17" width="3.13333333333333" customWidth="1"/>
    <col min="18" max="18" width="3.83809523809524" customWidth="1"/>
    <col min="19" max="19" width="3.42857142857143" customWidth="1"/>
    <col min="20" max="33" width="2.71428571428571" customWidth="1"/>
    <col min="34" max="37" width="2.42857142857143" customWidth="1"/>
    <col min="38" max="38" width="1" customWidth="1"/>
    <col min="39" max="39" width="9.24761904761905" hidden="1" customWidth="1"/>
  </cols>
  <sheetData>
    <row r="1" ht="7.5" customHeight="1" spans="1:3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</row>
    <row r="2" ht="15" customHeight="1" spans="1:39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</row>
    <row r="3" ht="35.25" customHeight="1" spans="1:39">
      <c r="A3" s="273"/>
      <c r="B3" s="337"/>
      <c r="C3" s="337"/>
      <c r="D3" s="337"/>
      <c r="E3" s="337"/>
      <c r="F3" s="337"/>
      <c r="G3" s="592" t="str">
        <f>M9</f>
        <v>土方开挖</v>
      </c>
      <c r="H3" s="592"/>
      <c r="I3" s="592"/>
      <c r="J3" s="592"/>
      <c r="K3" s="592"/>
      <c r="L3" s="592"/>
      <c r="M3" s="592"/>
      <c r="N3" s="592"/>
      <c r="O3" s="592"/>
      <c r="P3" s="592" t="s">
        <v>91</v>
      </c>
      <c r="Q3" s="592"/>
      <c r="R3" s="592"/>
      <c r="S3" s="592"/>
      <c r="T3" s="374" t="s">
        <v>2</v>
      </c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83"/>
      <c r="AK3" s="383"/>
      <c r="AL3" s="273"/>
      <c r="AM3" s="273"/>
    </row>
    <row r="4" customHeight="1" spans="1:39">
      <c r="A4" s="273"/>
      <c r="B4" s="271"/>
      <c r="C4" s="271"/>
      <c r="D4" s="271"/>
      <c r="E4" s="271"/>
      <c r="F4" s="271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  <c r="AL4" s="273"/>
      <c r="AM4" s="273"/>
    </row>
    <row r="5" ht="17.25" customHeight="1" spans="1:39">
      <c r="A5" s="273"/>
      <c r="B5" s="340" t="s">
        <v>3</v>
      </c>
      <c r="C5" s="340"/>
      <c r="D5" s="341"/>
      <c r="E5" s="341"/>
      <c r="F5" s="340"/>
      <c r="G5" s="340"/>
      <c r="H5" s="340"/>
      <c r="I5" s="340"/>
      <c r="J5" s="340"/>
      <c r="K5" s="273"/>
      <c r="L5" s="273"/>
      <c r="M5" s="273"/>
      <c r="N5" s="273"/>
      <c r="O5" s="273" t="s">
        <v>4</v>
      </c>
      <c r="P5" s="340"/>
      <c r="Q5" s="340" t="s">
        <v>5</v>
      </c>
      <c r="R5" s="352"/>
      <c r="S5" s="273"/>
      <c r="T5" s="273"/>
      <c r="U5" s="273" t="s">
        <v>6</v>
      </c>
      <c r="V5" s="273"/>
      <c r="W5" s="273"/>
      <c r="X5" s="352"/>
      <c r="Y5" s="273"/>
      <c r="Z5" s="295" t="s">
        <v>7</v>
      </c>
      <c r="AA5" s="295"/>
      <c r="AB5" s="273"/>
      <c r="AC5" s="273"/>
      <c r="AD5" s="295"/>
      <c r="AE5" s="295"/>
      <c r="AF5" s="295"/>
      <c r="AG5" s="295"/>
      <c r="AH5" s="295"/>
      <c r="AI5" s="295"/>
      <c r="AJ5" s="295"/>
      <c r="AK5" s="295"/>
      <c r="AL5" s="273"/>
      <c r="AM5" s="273"/>
    </row>
    <row r="6" ht="30" customHeight="1" spans="1:39">
      <c r="A6" s="273"/>
      <c r="B6" s="273" t="s">
        <v>8</v>
      </c>
      <c r="C6" s="273"/>
      <c r="D6" s="273"/>
      <c r="E6" s="273"/>
      <c r="F6" s="273"/>
      <c r="G6" s="273"/>
      <c r="H6" s="295" t="s">
        <v>9</v>
      </c>
      <c r="I6" s="295"/>
      <c r="J6" s="295"/>
      <c r="K6" s="295"/>
      <c r="L6" s="295"/>
      <c r="M6" s="295"/>
      <c r="N6" s="295"/>
      <c r="O6" s="365"/>
      <c r="P6" s="365"/>
      <c r="Q6" s="365"/>
      <c r="R6" s="365"/>
      <c r="S6" s="365"/>
      <c r="T6" s="295"/>
      <c r="U6" s="295"/>
      <c r="V6" s="295"/>
      <c r="W6" s="295"/>
      <c r="X6" s="295"/>
      <c r="Y6" s="273" t="s">
        <v>10</v>
      </c>
      <c r="Z6" s="379"/>
      <c r="AA6" s="379"/>
      <c r="AB6" s="379"/>
      <c r="AC6" s="270"/>
      <c r="AD6" s="273"/>
      <c r="AE6" s="273"/>
      <c r="AF6" s="273"/>
      <c r="AG6" s="273"/>
      <c r="AH6" s="273"/>
      <c r="AI6" s="273"/>
      <c r="AJ6" s="273"/>
      <c r="AK6" s="273"/>
      <c r="AL6" s="273"/>
      <c r="AM6" s="273"/>
    </row>
    <row r="7" ht="3.75" customHeight="1" spans="1:39">
      <c r="A7" s="273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384"/>
      <c r="AL7" s="273"/>
      <c r="AM7" s="273"/>
    </row>
    <row r="8" ht="26.25" customHeight="1" spans="1:39">
      <c r="A8" s="335"/>
      <c r="B8" s="342" t="s">
        <v>92</v>
      </c>
      <c r="C8" s="343"/>
      <c r="D8" s="343"/>
      <c r="E8" s="343"/>
      <c r="F8" s="343"/>
      <c r="G8" s="343"/>
      <c r="H8" s="344" t="s">
        <v>12</v>
      </c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80"/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  <c r="AK8" s="385"/>
      <c r="AL8" s="386"/>
      <c r="AM8" s="273"/>
    </row>
    <row r="9" ht="26.25" customHeight="1" spans="1:39">
      <c r="A9" s="335"/>
      <c r="B9" s="345"/>
      <c r="C9" s="346"/>
      <c r="D9" s="346"/>
      <c r="E9" s="347" t="str">
        <f>土方开挖评定表!L7</f>
        <v>2024HD10地块-@file_num田块</v>
      </c>
      <c r="F9" s="347"/>
      <c r="G9" s="347"/>
      <c r="H9" s="347"/>
      <c r="I9" s="347"/>
      <c r="J9" s="347"/>
      <c r="K9" s="347"/>
      <c r="L9" s="347"/>
      <c r="M9" s="364" t="str">
        <f>土方开挖评定表!V7</f>
        <v>土方开挖</v>
      </c>
      <c r="N9" s="364"/>
      <c r="O9" s="593"/>
      <c r="P9" s="272" t="s">
        <v>13</v>
      </c>
      <c r="Q9" s="346" t="s">
        <v>1</v>
      </c>
      <c r="R9" s="346"/>
      <c r="S9" s="272" t="s">
        <v>14</v>
      </c>
      <c r="T9" s="365" t="s">
        <v>15</v>
      </c>
      <c r="U9" s="365"/>
      <c r="V9" s="365"/>
      <c r="W9" s="365"/>
      <c r="X9" s="365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87"/>
      <c r="AJ9" s="270"/>
      <c r="AK9" s="275"/>
      <c r="AL9" s="386"/>
      <c r="AM9" s="273"/>
    </row>
    <row r="10" ht="24.75" customHeight="1" spans="1:39">
      <c r="A10" s="335"/>
      <c r="B10" s="348"/>
      <c r="C10" s="349" t="s">
        <v>16</v>
      </c>
      <c r="D10" s="349"/>
      <c r="E10" s="349"/>
      <c r="F10" s="349"/>
      <c r="G10" s="349"/>
      <c r="H10" s="349"/>
      <c r="I10" s="366"/>
      <c r="J10" s="367"/>
      <c r="K10" s="367"/>
      <c r="L10" s="367"/>
      <c r="M10" s="367"/>
      <c r="N10" s="367"/>
      <c r="O10" s="368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  <c r="AA10" s="367"/>
      <c r="AB10" s="367"/>
      <c r="AC10" s="367"/>
      <c r="AD10" s="367"/>
      <c r="AE10" s="367"/>
      <c r="AF10" s="367"/>
      <c r="AG10" s="367"/>
      <c r="AH10" s="367"/>
      <c r="AI10" s="367"/>
      <c r="AJ10" s="367"/>
      <c r="AK10" s="388"/>
      <c r="AL10" s="386"/>
      <c r="AM10" s="273"/>
    </row>
    <row r="11" ht="33.75" customHeight="1" spans="1:39">
      <c r="A11" s="335"/>
      <c r="B11" s="348"/>
      <c r="C11" s="273"/>
      <c r="D11" s="273"/>
      <c r="E11" s="350" t="s">
        <v>17</v>
      </c>
      <c r="F11" s="349"/>
      <c r="G11" s="351" t="s">
        <v>18</v>
      </c>
      <c r="H11" s="352"/>
      <c r="I11" s="364"/>
      <c r="J11" s="364"/>
      <c r="K11" s="364"/>
      <c r="L11" s="364"/>
      <c r="M11" s="364"/>
      <c r="N11" s="364"/>
      <c r="O11" s="364"/>
      <c r="P11" s="364"/>
      <c r="Q11" s="376"/>
      <c r="R11" s="376"/>
      <c r="S11" s="376"/>
      <c r="T11" s="376"/>
      <c r="U11" s="376"/>
      <c r="V11" s="376"/>
      <c r="W11" s="376"/>
      <c r="X11" s="349" t="s">
        <v>19</v>
      </c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89"/>
      <c r="AL11" s="294"/>
      <c r="AM11" s="295">
        <v>0</v>
      </c>
    </row>
    <row r="12" ht="33.75" customHeight="1" spans="1:39">
      <c r="A12" s="335"/>
      <c r="B12" s="348"/>
      <c r="C12" s="273"/>
      <c r="D12" s="273"/>
      <c r="E12" s="352"/>
      <c r="F12" s="273"/>
      <c r="G12" s="351" t="s">
        <v>18</v>
      </c>
      <c r="H12" s="352"/>
      <c r="I12" s="285"/>
      <c r="J12" s="285"/>
      <c r="K12" s="285"/>
      <c r="L12" s="285"/>
      <c r="M12" s="285"/>
      <c r="N12" s="285"/>
      <c r="O12" s="285"/>
      <c r="P12" s="285"/>
      <c r="Q12" s="377"/>
      <c r="R12" s="377"/>
      <c r="S12" s="377"/>
      <c r="T12" s="377"/>
      <c r="U12" s="377"/>
      <c r="V12" s="377"/>
      <c r="W12" s="377"/>
      <c r="X12" s="349" t="s">
        <v>20</v>
      </c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89"/>
      <c r="AL12" s="386"/>
      <c r="AM12" s="295">
        <v>0</v>
      </c>
    </row>
    <row r="13" ht="33.75" customHeight="1" spans="1:39">
      <c r="A13" s="335"/>
      <c r="B13" s="348"/>
      <c r="C13" s="273"/>
      <c r="D13" s="273"/>
      <c r="E13" s="352"/>
      <c r="F13" s="273"/>
      <c r="G13" s="351" t="s">
        <v>18</v>
      </c>
      <c r="H13" s="352"/>
      <c r="I13" s="285" t="str">
        <f>土方开挖评定表!V7</f>
        <v>土方开挖</v>
      </c>
      <c r="J13" s="285"/>
      <c r="K13" s="285"/>
      <c r="L13" s="285"/>
      <c r="M13" s="285"/>
      <c r="N13" s="285"/>
      <c r="O13" s="285"/>
      <c r="P13" s="285"/>
      <c r="Q13" s="377"/>
      <c r="R13" s="377"/>
      <c r="S13" s="377"/>
      <c r="T13" s="377"/>
      <c r="U13" s="377"/>
      <c r="V13" s="377"/>
      <c r="W13" s="377"/>
      <c r="X13" s="349" t="s">
        <v>21</v>
      </c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89"/>
      <c r="AL13" s="386"/>
      <c r="AM13" s="295">
        <v>1</v>
      </c>
    </row>
    <row r="14" ht="33.75" customHeight="1" spans="1:39">
      <c r="A14" s="335"/>
      <c r="B14" s="348"/>
      <c r="C14" s="273"/>
      <c r="D14" s="273"/>
      <c r="E14" s="352"/>
      <c r="F14" s="273"/>
      <c r="G14" s="351" t="s">
        <v>18</v>
      </c>
      <c r="H14" s="352"/>
      <c r="I14" s="285"/>
      <c r="J14" s="285"/>
      <c r="K14" s="285"/>
      <c r="L14" s="285"/>
      <c r="M14" s="285"/>
      <c r="N14" s="285"/>
      <c r="O14" s="285"/>
      <c r="P14" s="285"/>
      <c r="Q14" s="377"/>
      <c r="R14" s="377"/>
      <c r="S14" s="377"/>
      <c r="T14" s="377"/>
      <c r="U14" s="377"/>
      <c r="V14" s="377"/>
      <c r="W14" s="377"/>
      <c r="X14" s="349" t="s">
        <v>22</v>
      </c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89"/>
      <c r="AL14" s="386"/>
      <c r="AM14" s="295">
        <v>0</v>
      </c>
    </row>
    <row r="15" ht="17.25" customHeight="1" spans="1:39">
      <c r="A15" s="335"/>
      <c r="B15" s="353"/>
      <c r="C15" s="354"/>
      <c r="D15" s="354"/>
      <c r="E15" s="355"/>
      <c r="F15" s="354"/>
      <c r="G15" s="354"/>
      <c r="H15" s="355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90"/>
      <c r="AL15" s="386"/>
      <c r="AM15" s="273"/>
    </row>
    <row r="16" ht="17.25" customHeight="1" spans="1:39">
      <c r="A16" s="335"/>
      <c r="B16" s="353"/>
      <c r="C16" s="354"/>
      <c r="D16" s="354"/>
      <c r="E16" s="355"/>
      <c r="F16" s="354"/>
      <c r="G16" s="354"/>
      <c r="H16" s="355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90"/>
      <c r="AL16" s="386"/>
      <c r="AM16" s="273"/>
    </row>
    <row r="17" ht="17.25" customHeight="1" spans="1:39">
      <c r="A17" s="335"/>
      <c r="B17" s="353"/>
      <c r="C17" s="354"/>
      <c r="D17" s="354"/>
      <c r="E17" s="355"/>
      <c r="F17" s="354"/>
      <c r="G17" s="354"/>
      <c r="H17" s="355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D17" s="354"/>
      <c r="AE17" s="354"/>
      <c r="AF17" s="354"/>
      <c r="AG17" s="354"/>
      <c r="AH17" s="354"/>
      <c r="AI17" s="354"/>
      <c r="AJ17" s="354"/>
      <c r="AK17" s="390"/>
      <c r="AL17" s="386"/>
      <c r="AM17" s="273"/>
    </row>
    <row r="18" ht="17.25" customHeight="1" spans="1:39">
      <c r="A18" s="335"/>
      <c r="B18" s="353"/>
      <c r="C18" s="354"/>
      <c r="D18" s="354"/>
      <c r="E18" s="355"/>
      <c r="F18" s="354"/>
      <c r="G18" s="354"/>
      <c r="H18" s="355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4"/>
      <c r="AG18" s="354"/>
      <c r="AH18" s="354"/>
      <c r="AI18" s="354"/>
      <c r="AJ18" s="354"/>
      <c r="AK18" s="390"/>
      <c r="AL18" s="386"/>
      <c r="AM18" s="273"/>
    </row>
    <row r="19" ht="33.75" customHeight="1" spans="1:39">
      <c r="A19" s="335"/>
      <c r="B19" s="356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370"/>
      <c r="P19" s="295" t="s">
        <v>23</v>
      </c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372"/>
      <c r="AG19" s="295"/>
      <c r="AH19" s="295"/>
      <c r="AI19" s="295"/>
      <c r="AJ19" s="295"/>
      <c r="AK19" s="391"/>
      <c r="AL19" s="386"/>
      <c r="AM19" s="273"/>
    </row>
    <row r="20" ht="24" customHeight="1" spans="1:39">
      <c r="A20" s="335"/>
      <c r="B20" s="356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5"/>
      <c r="O20" s="370"/>
      <c r="P20" s="295" t="s">
        <v>24</v>
      </c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5"/>
      <c r="AE20" s="295"/>
      <c r="AF20" s="372"/>
      <c r="AG20" s="295"/>
      <c r="AH20" s="295"/>
      <c r="AI20" s="295"/>
      <c r="AJ20" s="295"/>
      <c r="AK20" s="391"/>
      <c r="AL20" s="386"/>
      <c r="AM20" s="273"/>
    </row>
    <row r="21" ht="24" customHeight="1" spans="1:39">
      <c r="A21" s="335"/>
      <c r="B21" s="357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71"/>
      <c r="P21" s="305" t="s">
        <v>25</v>
      </c>
      <c r="Q21" s="305"/>
      <c r="R21" s="305"/>
      <c r="S21" s="305"/>
      <c r="T21" s="378" t="s">
        <v>26</v>
      </c>
      <c r="U21" s="288"/>
      <c r="V21" s="288"/>
      <c r="W21" s="288"/>
      <c r="X21" s="288"/>
      <c r="Y21" s="333"/>
      <c r="Z21" s="333"/>
      <c r="AA21" s="333"/>
      <c r="AB21" s="288"/>
      <c r="AC21" s="288"/>
      <c r="AD21" s="288"/>
      <c r="AE21" s="288"/>
      <c r="AF21" s="288"/>
      <c r="AG21" s="288"/>
      <c r="AH21" s="288"/>
      <c r="AI21" s="288"/>
      <c r="AJ21" s="288"/>
      <c r="AK21" s="333"/>
      <c r="AL21" s="386"/>
      <c r="AM21" s="273"/>
    </row>
    <row r="22" ht="22.5" customHeight="1" spans="1:39">
      <c r="A22" s="335"/>
      <c r="B22" s="353" t="s">
        <v>27</v>
      </c>
      <c r="C22" s="358"/>
      <c r="D22" s="359"/>
      <c r="E22" s="358"/>
      <c r="F22" s="295" t="s">
        <v>28</v>
      </c>
      <c r="G22" s="295"/>
      <c r="H22" s="273"/>
      <c r="I22" s="273"/>
      <c r="J22" s="273"/>
      <c r="K22" s="273"/>
      <c r="L22" s="273"/>
      <c r="M22" s="273"/>
      <c r="N22" s="273"/>
      <c r="O22" s="352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0"/>
      <c r="AD22" s="290"/>
      <c r="AE22" s="290"/>
      <c r="AF22" s="290"/>
      <c r="AG22" s="290"/>
      <c r="AH22" s="290"/>
      <c r="AI22" s="290"/>
      <c r="AJ22" s="290"/>
      <c r="AK22" s="334"/>
      <c r="AL22" s="386"/>
      <c r="AM22" s="273"/>
    </row>
    <row r="23" ht="48" customHeight="1" spans="1:39">
      <c r="A23" s="335"/>
      <c r="B23" s="353"/>
      <c r="C23" s="358"/>
      <c r="D23" s="359"/>
      <c r="E23" s="358"/>
      <c r="F23" s="273"/>
      <c r="G23" s="273"/>
      <c r="H23" s="273"/>
      <c r="I23" s="273"/>
      <c r="J23" s="273"/>
      <c r="K23" s="273"/>
      <c r="L23" s="273"/>
      <c r="M23" s="273"/>
      <c r="N23" s="273"/>
      <c r="O23" s="352"/>
      <c r="P23" s="273"/>
      <c r="Q23" s="273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391"/>
      <c r="AL23" s="386"/>
      <c r="AM23" s="273"/>
    </row>
    <row r="24" ht="22.5" customHeight="1" spans="1:39">
      <c r="A24" s="335"/>
      <c r="B24" s="353"/>
      <c r="C24" s="358"/>
      <c r="D24" s="359"/>
      <c r="E24" s="358"/>
      <c r="F24" s="351"/>
      <c r="G24" s="351" t="s">
        <v>13</v>
      </c>
      <c r="H24" s="295" t="s">
        <v>29</v>
      </c>
      <c r="I24" s="295"/>
      <c r="J24" s="295"/>
      <c r="K24" s="295"/>
      <c r="L24" s="295"/>
      <c r="M24" s="295"/>
      <c r="N24" s="295"/>
      <c r="O24" s="370"/>
      <c r="P24" s="295"/>
      <c r="Q24" s="270"/>
      <c r="R24" s="270"/>
      <c r="S24" s="270"/>
      <c r="T24" s="270"/>
      <c r="U24" s="351" t="s">
        <v>13</v>
      </c>
      <c r="V24" s="295"/>
      <c r="W24" s="295" t="s">
        <v>30</v>
      </c>
      <c r="X24" s="295"/>
      <c r="Y24" s="295"/>
      <c r="Z24" s="295"/>
      <c r="AA24" s="295"/>
      <c r="AB24" s="295"/>
      <c r="AC24" s="295"/>
      <c r="AD24" s="370"/>
      <c r="AE24" s="295"/>
      <c r="AF24" s="295"/>
      <c r="AG24" s="295"/>
      <c r="AH24" s="295"/>
      <c r="AI24" s="295"/>
      <c r="AJ24" s="295"/>
      <c r="AK24" s="391"/>
      <c r="AL24" s="386"/>
      <c r="AM24" s="273"/>
    </row>
    <row r="25" ht="26.25" customHeight="1" spans="1:39">
      <c r="A25" s="335"/>
      <c r="B25" s="353"/>
      <c r="C25" s="358"/>
      <c r="D25" s="359"/>
      <c r="E25" s="358"/>
      <c r="F25" s="351"/>
      <c r="G25" s="351" t="s">
        <v>13</v>
      </c>
      <c r="H25" s="295" t="s">
        <v>31</v>
      </c>
      <c r="I25" s="295"/>
      <c r="J25" s="295"/>
      <c r="K25" s="295"/>
      <c r="L25" s="295"/>
      <c r="M25" s="295"/>
      <c r="N25" s="295"/>
      <c r="O25" s="370"/>
      <c r="P25" s="295"/>
      <c r="Q25" s="270"/>
      <c r="R25" s="270"/>
      <c r="S25" s="270"/>
      <c r="T25" s="270"/>
      <c r="U25" s="351" t="s">
        <v>13</v>
      </c>
      <c r="V25" s="295"/>
      <c r="W25" s="295" t="s">
        <v>32</v>
      </c>
      <c r="X25" s="295"/>
      <c r="Y25" s="295"/>
      <c r="Z25" s="295"/>
      <c r="AA25" s="295"/>
      <c r="AB25" s="295"/>
      <c r="AC25" s="295"/>
      <c r="AD25" s="370"/>
      <c r="AE25" s="295"/>
      <c r="AF25" s="295"/>
      <c r="AG25" s="295"/>
      <c r="AH25" s="295"/>
      <c r="AI25" s="295"/>
      <c r="AJ25" s="295"/>
      <c r="AK25" s="391"/>
      <c r="AL25" s="386"/>
      <c r="AM25" s="273"/>
    </row>
    <row r="26" ht="25.5" customHeight="1" spans="1:39">
      <c r="A26" s="335"/>
      <c r="B26" s="353"/>
      <c r="C26" s="358"/>
      <c r="D26" s="359"/>
      <c r="E26" s="358"/>
      <c r="F26" s="295"/>
      <c r="G26" s="295"/>
      <c r="H26" s="295"/>
      <c r="I26" s="295"/>
      <c r="J26" s="295"/>
      <c r="K26" s="295"/>
      <c r="L26" s="295"/>
      <c r="M26" s="295"/>
      <c r="N26" s="295"/>
      <c r="O26" s="370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391"/>
      <c r="AL26" s="386"/>
      <c r="AM26" s="273"/>
    </row>
    <row r="27" ht="25.5" customHeight="1" spans="1:39">
      <c r="A27" s="335"/>
      <c r="B27" s="353"/>
      <c r="C27" s="358"/>
      <c r="D27" s="359"/>
      <c r="E27" s="358"/>
      <c r="F27" s="295" t="s">
        <v>33</v>
      </c>
      <c r="G27" s="295"/>
      <c r="H27" s="295"/>
      <c r="I27" s="295"/>
      <c r="J27" s="295"/>
      <c r="K27" s="295"/>
      <c r="L27" s="295"/>
      <c r="M27" s="295"/>
      <c r="N27" s="295"/>
      <c r="O27" s="370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391"/>
      <c r="AL27" s="386"/>
      <c r="AM27" s="273"/>
    </row>
    <row r="28" ht="23.25" customHeight="1" spans="1:39">
      <c r="A28" s="335"/>
      <c r="B28" s="353"/>
      <c r="C28" s="358"/>
      <c r="D28" s="359"/>
      <c r="E28" s="358"/>
      <c r="F28" s="295"/>
      <c r="G28" s="295"/>
      <c r="H28" s="295"/>
      <c r="I28" s="295"/>
      <c r="J28" s="295"/>
      <c r="K28" s="295"/>
      <c r="L28" s="295"/>
      <c r="M28" s="295"/>
      <c r="N28" s="295"/>
      <c r="O28" s="370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391"/>
      <c r="AL28" s="386"/>
      <c r="AM28" s="273"/>
    </row>
    <row r="29" ht="33.75" customHeight="1" spans="1:39">
      <c r="A29" s="335"/>
      <c r="B29" s="353"/>
      <c r="C29" s="358"/>
      <c r="D29" s="359"/>
      <c r="E29" s="358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372" t="s">
        <v>34</v>
      </c>
      <c r="Q29" s="372"/>
      <c r="R29" s="372"/>
      <c r="S29" s="372"/>
      <c r="T29" s="372"/>
      <c r="U29" s="372"/>
      <c r="V29" s="372"/>
      <c r="W29" s="372"/>
      <c r="X29" s="295"/>
      <c r="Y29" s="295"/>
      <c r="Z29" s="295"/>
      <c r="AA29" s="295"/>
      <c r="AB29" s="295"/>
      <c r="AC29" s="372"/>
      <c r="AD29" s="295"/>
      <c r="AE29" s="295"/>
      <c r="AF29" s="295"/>
      <c r="AG29" s="295"/>
      <c r="AH29" s="391"/>
      <c r="AI29" s="365"/>
      <c r="AJ29" s="365"/>
      <c r="AK29" s="392"/>
      <c r="AL29" s="386"/>
      <c r="AM29" s="273"/>
    </row>
    <row r="30" ht="24" customHeight="1" spans="1:39">
      <c r="A30" s="335"/>
      <c r="B30" s="353"/>
      <c r="C30" s="358"/>
      <c r="D30" s="359"/>
      <c r="E30" s="358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 t="s">
        <v>35</v>
      </c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372"/>
      <c r="AG30" s="295"/>
      <c r="AH30" s="295"/>
      <c r="AI30" s="295"/>
      <c r="AJ30" s="295"/>
      <c r="AK30" s="391"/>
      <c r="AL30" s="386"/>
      <c r="AM30" s="273"/>
    </row>
    <row r="31" ht="24" customHeight="1" spans="1:39">
      <c r="A31" s="335"/>
      <c r="B31" s="360"/>
      <c r="C31" s="318"/>
      <c r="D31" s="361"/>
      <c r="E31" s="318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 t="s">
        <v>25</v>
      </c>
      <c r="Q31" s="362"/>
      <c r="R31" s="362"/>
      <c r="S31" s="362"/>
      <c r="T31" s="308" t="s">
        <v>26</v>
      </c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88"/>
      <c r="AI31" s="288"/>
      <c r="AJ31" s="288"/>
      <c r="AK31" s="333"/>
      <c r="AL31" s="386"/>
      <c r="AM31" s="273"/>
    </row>
    <row r="32" ht="21.75" customHeight="1" spans="1:39">
      <c r="A32" s="273"/>
      <c r="B32" s="343" t="s">
        <v>36</v>
      </c>
      <c r="C32" s="343"/>
      <c r="D32" s="343"/>
      <c r="E32" s="343"/>
      <c r="F32" s="343"/>
      <c r="G32" s="343"/>
      <c r="H32" s="363"/>
      <c r="I32" s="363"/>
      <c r="J32" s="343" t="s">
        <v>37</v>
      </c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343"/>
      <c r="W32" s="343"/>
      <c r="X32" s="343"/>
      <c r="Y32" s="363"/>
      <c r="Z32" s="363"/>
      <c r="AA32" s="382" t="s">
        <v>38</v>
      </c>
      <c r="AB32" s="382"/>
      <c r="AC32" s="382"/>
      <c r="AD32" s="382"/>
      <c r="AE32" s="382"/>
      <c r="AF32" s="363"/>
      <c r="AG32" s="393"/>
      <c r="AH32" s="346" t="s">
        <v>39</v>
      </c>
      <c r="AI32" s="346"/>
      <c r="AJ32" s="270"/>
      <c r="AK32" s="270"/>
      <c r="AL32" s="273"/>
      <c r="AM32" s="273"/>
    </row>
    <row r="33" ht="7.5" customHeight="1" spans="1:39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  <c r="AA33" s="273"/>
      <c r="AB33" s="273"/>
      <c r="AC33" s="273"/>
      <c r="AD33" s="273"/>
      <c r="AE33" s="273"/>
      <c r="AF33" s="402"/>
      <c r="AG33" s="402"/>
      <c r="AH33" s="273"/>
      <c r="AI33" s="273"/>
      <c r="AJ33" s="273"/>
      <c r="AK33" s="273"/>
      <c r="AL33" s="273"/>
      <c r="AM33" s="273"/>
    </row>
  </sheetData>
  <mergeCells count="88">
    <mergeCell ref="A1:AL1"/>
    <mergeCell ref="B2:AK2"/>
    <mergeCell ref="B3:F3"/>
    <mergeCell ref="G3:O3"/>
    <mergeCell ref="P3:S3"/>
    <mergeCell ref="T3:AK3"/>
    <mergeCell ref="B4:AK4"/>
    <mergeCell ref="B5:N5"/>
    <mergeCell ref="O5:P5"/>
    <mergeCell ref="R5:T5"/>
    <mergeCell ref="U5:W5"/>
    <mergeCell ref="X5:Y5"/>
    <mergeCell ref="Z5:AA5"/>
    <mergeCell ref="AB5:AK5"/>
    <mergeCell ref="B6:G6"/>
    <mergeCell ref="H6:X6"/>
    <mergeCell ref="Y6:AC6"/>
    <mergeCell ref="AD6:AK6"/>
    <mergeCell ref="B7:AK7"/>
    <mergeCell ref="B8:G8"/>
    <mergeCell ref="H8:Y8"/>
    <mergeCell ref="Z8:AK8"/>
    <mergeCell ref="B9:D9"/>
    <mergeCell ref="E9:L9"/>
    <mergeCell ref="M9:O9"/>
    <mergeCell ref="Q9:R9"/>
    <mergeCell ref="T9:AK9"/>
    <mergeCell ref="C10:AK10"/>
    <mergeCell ref="B11:D11"/>
    <mergeCell ref="E11:F11"/>
    <mergeCell ref="G11:H11"/>
    <mergeCell ref="I11:W11"/>
    <mergeCell ref="X11:AK11"/>
    <mergeCell ref="B12:F12"/>
    <mergeCell ref="G12:H12"/>
    <mergeCell ref="I12:W12"/>
    <mergeCell ref="X12:AK12"/>
    <mergeCell ref="B13:F13"/>
    <mergeCell ref="G13:H13"/>
    <mergeCell ref="I13:W13"/>
    <mergeCell ref="X13:AK13"/>
    <mergeCell ref="B14:F14"/>
    <mergeCell ref="G14:H14"/>
    <mergeCell ref="I14:W14"/>
    <mergeCell ref="X14:AK14"/>
    <mergeCell ref="P19:Z19"/>
    <mergeCell ref="AA19:AK19"/>
    <mergeCell ref="P20:V20"/>
    <mergeCell ref="W20:AB20"/>
    <mergeCell ref="AC20:AK20"/>
    <mergeCell ref="P21:S21"/>
    <mergeCell ref="T21:AB21"/>
    <mergeCell ref="AC21:AK21"/>
    <mergeCell ref="F22:AK22"/>
    <mergeCell ref="F23:AK23"/>
    <mergeCell ref="H24:P24"/>
    <mergeCell ref="Q24:T24"/>
    <mergeCell ref="U24:V24"/>
    <mergeCell ref="W24:AK24"/>
    <mergeCell ref="H25:P25"/>
    <mergeCell ref="Q25:T25"/>
    <mergeCell ref="U25:V25"/>
    <mergeCell ref="W25:AK25"/>
    <mergeCell ref="F26:AK26"/>
    <mergeCell ref="F27:AK27"/>
    <mergeCell ref="F28:AK28"/>
    <mergeCell ref="P29:W29"/>
    <mergeCell ref="X29:AK29"/>
    <mergeCell ref="P30:V30"/>
    <mergeCell ref="W30:AB30"/>
    <mergeCell ref="AC30:AK30"/>
    <mergeCell ref="P31:S31"/>
    <mergeCell ref="T31:AB31"/>
    <mergeCell ref="AC31:AK31"/>
    <mergeCell ref="B32:G32"/>
    <mergeCell ref="H32:I32"/>
    <mergeCell ref="J32:X32"/>
    <mergeCell ref="Y32:Z32"/>
    <mergeCell ref="AA32:AE32"/>
    <mergeCell ref="AF32:AG32"/>
    <mergeCell ref="AH32:AI32"/>
    <mergeCell ref="A33:AL33"/>
    <mergeCell ref="A2:A32"/>
    <mergeCell ref="AL2:AL32"/>
    <mergeCell ref="B15:AK18"/>
    <mergeCell ref="B19:O21"/>
    <mergeCell ref="B22:E31"/>
    <mergeCell ref="F29:O31"/>
  </mergeCells>
  <pageMargins left="0.55" right="0" top="0.21" bottom="0" header="0.5" footer="0.11"/>
  <pageSetup paperSize="9" scale="95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2"/>
  <sheetViews>
    <sheetView view="pageBreakPreview" zoomScaleNormal="100" topLeftCell="A3" workbookViewId="0">
      <selection activeCell="Y11" sqref="Y11:AB11"/>
    </sheetView>
  </sheetViews>
  <sheetFormatPr defaultColWidth="9.24761904761905" defaultRowHeight="12"/>
  <cols>
    <col min="1" max="1" width="0.714285714285714" customWidth="1"/>
    <col min="2" max="5" width="1.71428571428571" customWidth="1"/>
    <col min="6" max="7" width="2.13333333333333" customWidth="1"/>
    <col min="8" max="13" width="2.28571428571429" customWidth="1"/>
    <col min="14" max="21" width="2.13333333333333" customWidth="1"/>
    <col min="22" max="22" width="1.71428571428571" customWidth="1"/>
    <col min="23" max="24" width="2.13333333333333" customWidth="1"/>
    <col min="25" max="25" width="3.13333333333333" customWidth="1"/>
    <col min="26" max="38" width="2.13333333333333" customWidth="1"/>
    <col min="39" max="48" width="2.28571428571429" customWidth="1"/>
    <col min="49" max="49" width="0.714285714285714" customWidth="1"/>
  </cols>
  <sheetData>
    <row r="1" ht="3.75" customHeight="1" spans="1:4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</row>
    <row r="2" ht="31.5" customHeight="1" spans="1:49">
      <c r="A2" s="273"/>
      <c r="B2" s="403"/>
      <c r="C2" s="404"/>
      <c r="D2" s="404"/>
      <c r="E2" s="404"/>
      <c r="F2" s="404"/>
      <c r="G2" s="404"/>
      <c r="H2" s="404"/>
      <c r="I2" s="404"/>
      <c r="J2" s="404"/>
      <c r="K2" s="590" t="s">
        <v>9</v>
      </c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1"/>
      <c r="AA2" s="591"/>
      <c r="AB2" s="591"/>
      <c r="AC2" s="591"/>
      <c r="AD2" s="591"/>
      <c r="AE2" s="591"/>
      <c r="AF2" s="591"/>
      <c r="AG2" s="591"/>
      <c r="AH2" s="591"/>
      <c r="AI2" s="443" t="s">
        <v>93</v>
      </c>
      <c r="AJ2" s="444"/>
      <c r="AK2" s="444"/>
      <c r="AL2" s="445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273"/>
    </row>
    <row r="3" ht="26.25" customHeight="1" spans="1:49">
      <c r="A3" s="273"/>
      <c r="B3" s="403"/>
      <c r="C3" s="404"/>
      <c r="D3" s="404"/>
      <c r="E3" s="404"/>
      <c r="F3" s="404"/>
      <c r="G3" s="404"/>
      <c r="H3" s="404"/>
      <c r="I3" s="404"/>
      <c r="J3" s="535" t="s">
        <v>94</v>
      </c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403"/>
      <c r="AQ3" s="403"/>
      <c r="AR3" s="403"/>
      <c r="AS3" s="403"/>
      <c r="AT3" s="403"/>
      <c r="AU3" s="403"/>
      <c r="AV3" s="403"/>
      <c r="AW3" s="273"/>
    </row>
    <row r="4" ht="9.75" customHeight="1" spans="1:49">
      <c r="A4" s="273"/>
      <c r="B4" s="405"/>
      <c r="C4" s="405"/>
      <c r="D4" s="405"/>
      <c r="E4" s="405"/>
      <c r="F4" s="405"/>
      <c r="G4" s="405"/>
      <c r="H4" s="405"/>
      <c r="I4" s="405"/>
      <c r="J4" s="406"/>
      <c r="K4" s="406"/>
      <c r="L4" s="406"/>
      <c r="M4" s="406"/>
      <c r="N4" s="406"/>
      <c r="O4" s="406"/>
      <c r="P4" s="406"/>
      <c r="Q4" s="406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9"/>
      <c r="AO4" s="405"/>
      <c r="AP4" s="405"/>
      <c r="AQ4" s="405"/>
      <c r="AR4" s="405"/>
      <c r="AS4" s="405"/>
      <c r="AT4" s="405"/>
      <c r="AU4" s="405"/>
      <c r="AV4" s="405"/>
      <c r="AW4" s="273"/>
    </row>
    <row r="5" ht="45" customHeight="1" spans="1:49">
      <c r="A5" s="335"/>
      <c r="B5" s="276" t="s">
        <v>95</v>
      </c>
      <c r="C5" s="277"/>
      <c r="D5" s="277"/>
      <c r="E5" s="277"/>
      <c r="F5" s="277"/>
      <c r="G5" s="277"/>
      <c r="H5" s="277"/>
      <c r="I5" s="277"/>
      <c r="J5" s="277"/>
      <c r="K5" s="277"/>
      <c r="L5" s="277" t="str">
        <f>表土玻璃和回覆质量评定表!M4</f>
        <v>土地平整工程</v>
      </c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 t="s">
        <v>96</v>
      </c>
      <c r="AA5" s="277"/>
      <c r="AB5" s="277"/>
      <c r="AC5" s="277"/>
      <c r="AD5" s="277"/>
      <c r="AE5" s="277"/>
      <c r="AF5" s="277"/>
      <c r="AG5" s="310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547"/>
      <c r="AW5" s="386"/>
    </row>
    <row r="6" ht="45" customHeight="1" spans="1:49">
      <c r="A6" s="335"/>
      <c r="B6" s="278" t="s">
        <v>97</v>
      </c>
      <c r="C6" s="279"/>
      <c r="D6" s="279"/>
      <c r="E6" s="279"/>
      <c r="F6" s="279"/>
      <c r="G6" s="279"/>
      <c r="H6" s="279"/>
      <c r="I6" s="279"/>
      <c r="J6" s="279"/>
      <c r="K6" s="279"/>
      <c r="L6" s="279" t="str">
        <f>表土玻璃和回覆质量评定表!M5</f>
        <v>2024HD10地块土地平整</v>
      </c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 t="s">
        <v>98</v>
      </c>
      <c r="AA6" s="279"/>
      <c r="AB6" s="279"/>
      <c r="AC6" s="279"/>
      <c r="AD6" s="279"/>
      <c r="AE6" s="279"/>
      <c r="AF6" s="279" t="s">
        <v>99</v>
      </c>
      <c r="AG6" s="281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458"/>
      <c r="AW6" s="386"/>
    </row>
    <row r="7" ht="45" customHeight="1" spans="1:49">
      <c r="A7" s="335"/>
      <c r="B7" s="278" t="s">
        <v>100</v>
      </c>
      <c r="C7" s="279"/>
      <c r="D7" s="279"/>
      <c r="E7" s="279"/>
      <c r="F7" s="279"/>
      <c r="G7" s="279"/>
      <c r="H7" s="279"/>
      <c r="I7" s="279"/>
      <c r="J7" s="279"/>
      <c r="K7" s="279"/>
      <c r="L7" s="302" t="str">
        <f>表土玻璃和回覆质量评定表!M6</f>
        <v>2024HD10地块-@file_num田块</v>
      </c>
      <c r="M7" s="303"/>
      <c r="N7" s="303"/>
      <c r="O7" s="303"/>
      <c r="P7" s="303"/>
      <c r="Q7" s="303"/>
      <c r="R7" s="303"/>
      <c r="S7" s="303"/>
      <c r="T7" s="303"/>
      <c r="U7" s="303"/>
      <c r="V7" s="311" t="s">
        <v>101</v>
      </c>
      <c r="W7" s="311"/>
      <c r="X7" s="311"/>
      <c r="Y7" s="311"/>
      <c r="Z7" s="279" t="s">
        <v>102</v>
      </c>
      <c r="AA7" s="279"/>
      <c r="AB7" s="279"/>
      <c r="AC7" s="279"/>
      <c r="AD7" s="279"/>
      <c r="AE7" s="279"/>
      <c r="AF7" s="478" t="s">
        <v>103</v>
      </c>
      <c r="AG7" s="544"/>
      <c r="AH7" s="544"/>
      <c r="AI7" s="544"/>
      <c r="AJ7" s="544"/>
      <c r="AK7" s="544"/>
      <c r="AL7" s="545"/>
      <c r="AM7" s="546"/>
      <c r="AN7" s="301" t="s">
        <v>104</v>
      </c>
      <c r="AO7" s="481" t="s">
        <v>105</v>
      </c>
      <c r="AP7" s="281"/>
      <c r="AQ7" s="279"/>
      <c r="AR7" s="279"/>
      <c r="AS7" s="279"/>
      <c r="AT7" s="279"/>
      <c r="AU7" s="279"/>
      <c r="AV7" s="458"/>
      <c r="AW7" s="386"/>
    </row>
    <row r="8" ht="41.25" customHeight="1" spans="1:49">
      <c r="A8" s="335"/>
      <c r="B8" s="278" t="s">
        <v>50</v>
      </c>
      <c r="C8" s="279"/>
      <c r="D8" s="279"/>
      <c r="E8" s="279"/>
      <c r="F8" s="279" t="s">
        <v>106</v>
      </c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279" t="s">
        <v>107</v>
      </c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458"/>
      <c r="AW8" s="386"/>
    </row>
    <row r="9" ht="96.75" customHeight="1" spans="1:49">
      <c r="A9" s="335"/>
      <c r="B9" s="278">
        <v>1</v>
      </c>
      <c r="C9" s="279"/>
      <c r="D9" s="279"/>
      <c r="E9" s="279"/>
      <c r="F9" s="397" t="s">
        <v>108</v>
      </c>
      <c r="G9" s="407"/>
      <c r="H9" s="407"/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7"/>
      <c r="V9" s="407"/>
      <c r="W9" s="407"/>
      <c r="X9" s="540" t="s">
        <v>83</v>
      </c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457"/>
      <c r="AW9" s="386"/>
    </row>
    <row r="10" ht="96" customHeight="1" spans="1:49">
      <c r="A10" s="335"/>
      <c r="B10" s="278">
        <v>2</v>
      </c>
      <c r="C10" s="279"/>
      <c r="D10" s="279"/>
      <c r="E10" s="279"/>
      <c r="F10" s="397" t="s">
        <v>109</v>
      </c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540" t="s">
        <v>83</v>
      </c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457"/>
      <c r="AW10" s="386"/>
    </row>
    <row r="11" ht="34.5" customHeight="1" spans="1:49">
      <c r="A11" s="335"/>
      <c r="B11" s="278" t="s">
        <v>110</v>
      </c>
      <c r="C11" s="279"/>
      <c r="D11" s="279"/>
      <c r="E11" s="279"/>
      <c r="F11" s="284" t="s">
        <v>111</v>
      </c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543">
        <v>0</v>
      </c>
      <c r="Z11" s="430"/>
      <c r="AA11" s="430"/>
      <c r="AB11" s="430"/>
      <c r="AC11" s="304" t="s">
        <v>112</v>
      </c>
      <c r="AD11" s="304"/>
      <c r="AE11" s="304"/>
      <c r="AF11" s="304"/>
      <c r="AG11" s="304"/>
      <c r="AH11" s="304"/>
      <c r="AI11" s="304"/>
      <c r="AJ11" s="304"/>
      <c r="AK11" s="304"/>
      <c r="AL11" s="304"/>
      <c r="AM11" s="430" t="s">
        <v>83</v>
      </c>
      <c r="AN11" s="430"/>
      <c r="AO11" s="430"/>
      <c r="AP11" s="430"/>
      <c r="AQ11" s="304" t="s">
        <v>113</v>
      </c>
      <c r="AR11" s="408"/>
      <c r="AS11" s="408"/>
      <c r="AT11" s="408"/>
      <c r="AU11" s="408"/>
      <c r="AV11" s="548"/>
      <c r="AW11" s="386"/>
    </row>
    <row r="12" ht="34.5" customHeight="1" spans="1:49">
      <c r="A12" s="335"/>
      <c r="B12" s="278"/>
      <c r="C12" s="279"/>
      <c r="D12" s="279"/>
      <c r="E12" s="279"/>
      <c r="F12" s="409" t="s">
        <v>114</v>
      </c>
      <c r="G12" s="410"/>
      <c r="H12" s="410"/>
      <c r="I12" s="410"/>
      <c r="J12" s="429" t="s">
        <v>83</v>
      </c>
      <c r="K12" s="429"/>
      <c r="L12" s="429"/>
      <c r="M12" s="429"/>
      <c r="N12" s="349" t="s">
        <v>115</v>
      </c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49"/>
      <c r="Z12" s="449"/>
      <c r="AA12" s="449"/>
      <c r="AB12" s="449"/>
      <c r="AC12" s="437"/>
      <c r="AD12" s="437"/>
      <c r="AE12" s="437"/>
      <c r="AF12" s="437"/>
      <c r="AG12" s="437"/>
      <c r="AH12" s="437"/>
      <c r="AI12" s="437"/>
      <c r="AJ12" s="437"/>
      <c r="AK12" s="437"/>
      <c r="AL12" s="437"/>
      <c r="AM12" s="449"/>
      <c r="AN12" s="449"/>
      <c r="AO12" s="449"/>
      <c r="AP12" s="449"/>
      <c r="AQ12" s="437"/>
      <c r="AR12" s="437"/>
      <c r="AS12" s="437"/>
      <c r="AT12" s="437"/>
      <c r="AU12" s="437"/>
      <c r="AV12" s="466"/>
      <c r="AW12" s="386"/>
    </row>
    <row r="13" ht="34.5" customHeight="1" spans="1:49">
      <c r="A13" s="335"/>
      <c r="B13" s="278"/>
      <c r="C13" s="279"/>
      <c r="D13" s="279"/>
      <c r="E13" s="279"/>
      <c r="F13" s="409" t="s">
        <v>116</v>
      </c>
      <c r="G13" s="410"/>
      <c r="H13" s="410"/>
      <c r="I13" s="410"/>
      <c r="J13" s="408"/>
      <c r="K13" s="408"/>
      <c r="L13" s="408"/>
      <c r="M13" s="408"/>
      <c r="N13" s="410"/>
      <c r="O13" s="410"/>
      <c r="P13" s="410"/>
      <c r="Q13" s="452"/>
      <c r="R13" s="410"/>
      <c r="S13" s="429" t="s">
        <v>83</v>
      </c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349" t="s">
        <v>117</v>
      </c>
      <c r="AK13" s="437"/>
      <c r="AL13" s="437"/>
      <c r="AM13" s="437"/>
      <c r="AN13" s="437"/>
      <c r="AO13" s="437"/>
      <c r="AP13" s="437"/>
      <c r="AQ13" s="437"/>
      <c r="AR13" s="437"/>
      <c r="AS13" s="437"/>
      <c r="AT13" s="437"/>
      <c r="AU13" s="437"/>
      <c r="AV13" s="466"/>
      <c r="AW13" s="386"/>
    </row>
    <row r="14" ht="33" customHeight="1" spans="1:49">
      <c r="A14" s="335"/>
      <c r="B14" s="278"/>
      <c r="C14" s="279"/>
      <c r="D14" s="279"/>
      <c r="E14" s="279"/>
      <c r="F14" s="317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67"/>
      <c r="AW14" s="386"/>
    </row>
    <row r="15" ht="34.5" customHeight="1" spans="1:49">
      <c r="A15" s="335"/>
      <c r="B15" s="278"/>
      <c r="C15" s="279"/>
      <c r="D15" s="279"/>
      <c r="E15" s="279"/>
      <c r="F15" s="412" t="s">
        <v>118</v>
      </c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50" t="s">
        <v>26</v>
      </c>
      <c r="AO15" s="438"/>
      <c r="AP15" s="438"/>
      <c r="AQ15" s="438"/>
      <c r="AR15" s="438"/>
      <c r="AS15" s="438"/>
      <c r="AT15" s="438"/>
      <c r="AU15" s="438"/>
      <c r="AV15" s="468"/>
      <c r="AW15" s="386"/>
    </row>
    <row r="16" ht="34.5" customHeight="1" spans="1:49">
      <c r="A16" s="335"/>
      <c r="B16" s="278" t="s">
        <v>119</v>
      </c>
      <c r="C16" s="279"/>
      <c r="D16" s="279"/>
      <c r="E16" s="279"/>
      <c r="F16" s="409" t="s">
        <v>120</v>
      </c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6"/>
      <c r="AI16" s="346"/>
      <c r="AJ16" s="346"/>
      <c r="AK16" s="346"/>
      <c r="AL16" s="346"/>
      <c r="AM16" s="346"/>
      <c r="AN16" s="346"/>
      <c r="AO16" s="549"/>
      <c r="AP16" s="453"/>
      <c r="AQ16" s="429"/>
      <c r="AR16" s="429"/>
      <c r="AS16" s="429"/>
      <c r="AT16" s="346" t="s">
        <v>121</v>
      </c>
      <c r="AU16" s="410"/>
      <c r="AV16" s="469"/>
      <c r="AW16" s="386"/>
    </row>
    <row r="17" ht="34.5" customHeight="1" spans="1:49">
      <c r="A17" s="335"/>
      <c r="B17" s="278"/>
      <c r="C17" s="279"/>
      <c r="D17" s="279"/>
      <c r="E17" s="279"/>
      <c r="F17" s="409" t="s">
        <v>122</v>
      </c>
      <c r="G17" s="410"/>
      <c r="H17" s="410"/>
      <c r="I17" s="410"/>
      <c r="J17" s="410"/>
      <c r="K17" s="410"/>
      <c r="L17" s="410"/>
      <c r="M17" s="429"/>
      <c r="N17" s="429"/>
      <c r="O17" s="429"/>
      <c r="P17" s="429"/>
      <c r="Q17" s="346" t="s">
        <v>123</v>
      </c>
      <c r="R17" s="410"/>
      <c r="S17" s="410"/>
      <c r="T17" s="410"/>
      <c r="U17" s="410"/>
      <c r="V17" s="410"/>
      <c r="W17" s="410"/>
      <c r="X17" s="410"/>
      <c r="Y17" s="410"/>
      <c r="Z17" s="429"/>
      <c r="AA17" s="429"/>
      <c r="AB17" s="429"/>
      <c r="AC17" s="429"/>
      <c r="AD17" s="349" t="s">
        <v>115</v>
      </c>
      <c r="AE17" s="437"/>
      <c r="AF17" s="437"/>
      <c r="AG17" s="437"/>
      <c r="AH17" s="437"/>
      <c r="AI17" s="437"/>
      <c r="AJ17" s="437"/>
      <c r="AK17" s="437"/>
      <c r="AL17" s="437"/>
      <c r="AM17" s="437"/>
      <c r="AN17" s="437"/>
      <c r="AO17" s="437"/>
      <c r="AP17" s="449"/>
      <c r="AQ17" s="449"/>
      <c r="AR17" s="449"/>
      <c r="AS17" s="437"/>
      <c r="AT17" s="437"/>
      <c r="AU17" s="437"/>
      <c r="AV17" s="466"/>
      <c r="AW17" s="386"/>
    </row>
    <row r="18" ht="35.25" customHeight="1" spans="1:49">
      <c r="A18" s="335"/>
      <c r="B18" s="278"/>
      <c r="C18" s="279"/>
      <c r="D18" s="279"/>
      <c r="E18" s="279"/>
      <c r="F18" s="409" t="s">
        <v>116</v>
      </c>
      <c r="G18" s="346"/>
      <c r="H18" s="346"/>
      <c r="I18" s="346"/>
      <c r="J18" s="346"/>
      <c r="K18" s="346"/>
      <c r="L18" s="346"/>
      <c r="M18" s="304"/>
      <c r="N18" s="304"/>
      <c r="O18" s="304"/>
      <c r="P18" s="304"/>
      <c r="Q18" s="346"/>
      <c r="R18" s="346"/>
      <c r="S18" s="429"/>
      <c r="T18" s="429"/>
      <c r="U18" s="429"/>
      <c r="V18" s="429"/>
      <c r="W18" s="429"/>
      <c r="X18" s="429"/>
      <c r="Y18" s="429"/>
      <c r="Z18" s="430"/>
      <c r="AA18" s="430"/>
      <c r="AB18" s="430"/>
      <c r="AC18" s="430"/>
      <c r="AD18" s="429"/>
      <c r="AE18" s="429"/>
      <c r="AF18" s="429"/>
      <c r="AG18" s="429"/>
      <c r="AH18" s="429"/>
      <c r="AI18" s="429"/>
      <c r="AJ18" s="429"/>
      <c r="AK18" s="429"/>
      <c r="AL18" s="349" t="s">
        <v>117</v>
      </c>
      <c r="AM18" s="410"/>
      <c r="AN18" s="410"/>
      <c r="AO18" s="410"/>
      <c r="AP18" s="410"/>
      <c r="AQ18" s="410"/>
      <c r="AR18" s="410"/>
      <c r="AS18" s="410"/>
      <c r="AT18" s="410"/>
      <c r="AU18" s="410"/>
      <c r="AV18" s="469"/>
      <c r="AW18" s="386"/>
    </row>
    <row r="19" ht="24.75" customHeight="1" spans="1:49">
      <c r="A19" s="335"/>
      <c r="B19" s="278"/>
      <c r="C19" s="279"/>
      <c r="D19" s="279"/>
      <c r="E19" s="279"/>
      <c r="F19" s="317"/>
      <c r="G19" s="411"/>
      <c r="H19" s="411"/>
      <c r="I19" s="411"/>
      <c r="J19" s="411"/>
      <c r="K19" s="411"/>
      <c r="L19" s="41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411"/>
      <c r="AB19" s="411"/>
      <c r="AC19" s="411"/>
      <c r="AD19" s="411"/>
      <c r="AE19" s="411"/>
      <c r="AF19" s="411"/>
      <c r="AG19" s="411"/>
      <c r="AH19" s="411"/>
      <c r="AI19" s="411"/>
      <c r="AJ19" s="411"/>
      <c r="AK19" s="411"/>
      <c r="AL19" s="411"/>
      <c r="AM19" s="411"/>
      <c r="AN19" s="411"/>
      <c r="AO19" s="411"/>
      <c r="AP19" s="411"/>
      <c r="AQ19" s="411"/>
      <c r="AR19" s="411"/>
      <c r="AS19" s="411"/>
      <c r="AT19" s="411"/>
      <c r="AU19" s="411"/>
      <c r="AV19" s="467"/>
      <c r="AW19" s="386"/>
    </row>
    <row r="20" ht="33.75" customHeight="1" spans="1:49">
      <c r="A20" s="335"/>
      <c r="B20" s="278"/>
      <c r="C20" s="279"/>
      <c r="D20" s="279"/>
      <c r="E20" s="279"/>
      <c r="F20" s="412" t="s">
        <v>118</v>
      </c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438"/>
      <c r="W20" s="438"/>
      <c r="X20" s="438"/>
      <c r="Y20" s="438"/>
      <c r="Z20" s="438"/>
      <c r="AA20" s="438"/>
      <c r="AB20" s="438"/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50" t="s">
        <v>26</v>
      </c>
      <c r="AO20" s="438"/>
      <c r="AP20" s="438"/>
      <c r="AQ20" s="438"/>
      <c r="AR20" s="438"/>
      <c r="AS20" s="438"/>
      <c r="AT20" s="438"/>
      <c r="AU20" s="438"/>
      <c r="AV20" s="468"/>
      <c r="AW20" s="386"/>
    </row>
    <row r="21" ht="18.75" customHeight="1" spans="1:49">
      <c r="A21" s="335"/>
      <c r="B21" s="530" t="s">
        <v>124</v>
      </c>
      <c r="C21" s="531"/>
      <c r="D21" s="531"/>
      <c r="E21" s="531"/>
      <c r="F21" s="531"/>
      <c r="G21" s="532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532"/>
      <c r="AA21" s="532"/>
      <c r="AB21" s="532"/>
      <c r="AC21" s="532"/>
      <c r="AD21" s="532"/>
      <c r="AE21" s="532"/>
      <c r="AF21" s="532"/>
      <c r="AG21" s="532"/>
      <c r="AH21" s="532"/>
      <c r="AI21" s="532"/>
      <c r="AJ21" s="532"/>
      <c r="AK21" s="532"/>
      <c r="AL21" s="532"/>
      <c r="AM21" s="532"/>
      <c r="AN21" s="532"/>
      <c r="AO21" s="532"/>
      <c r="AP21" s="532"/>
      <c r="AQ21" s="532"/>
      <c r="AR21" s="532"/>
      <c r="AS21" s="532"/>
      <c r="AT21" s="532"/>
      <c r="AU21" s="532"/>
      <c r="AV21" s="550"/>
      <c r="AW21" s="386"/>
    </row>
    <row r="22" ht="3.75" customHeight="1" spans="1:49">
      <c r="A22" s="273"/>
      <c r="B22" s="588"/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89"/>
      <c r="N22" s="589"/>
      <c r="O22" s="589"/>
      <c r="P22" s="589"/>
      <c r="Q22" s="589"/>
      <c r="R22" s="589"/>
      <c r="S22" s="589"/>
      <c r="T22" s="589"/>
      <c r="U22" s="589"/>
      <c r="V22" s="589"/>
      <c r="W22" s="589"/>
      <c r="X22" s="589"/>
      <c r="Y22" s="589"/>
      <c r="Z22" s="589"/>
      <c r="AA22" s="589"/>
      <c r="AB22" s="589"/>
      <c r="AC22" s="589"/>
      <c r="AD22" s="589"/>
      <c r="AE22" s="589"/>
      <c r="AF22" s="589"/>
      <c r="AG22" s="589"/>
      <c r="AH22" s="589"/>
      <c r="AI22" s="589"/>
      <c r="AJ22" s="589"/>
      <c r="AK22" s="589"/>
      <c r="AL22" s="589"/>
      <c r="AM22" s="589"/>
      <c r="AN22" s="589"/>
      <c r="AO22" s="589"/>
      <c r="AP22" s="589"/>
      <c r="AQ22" s="589"/>
      <c r="AR22" s="589"/>
      <c r="AS22" s="589"/>
      <c r="AT22" s="589"/>
      <c r="AU22" s="589"/>
      <c r="AV22" s="589"/>
      <c r="AW22" s="273"/>
    </row>
  </sheetData>
  <mergeCells count="67">
    <mergeCell ref="B1:AV1"/>
    <mergeCell ref="B2:J2"/>
    <mergeCell ref="K2:AH2"/>
    <mergeCell ref="AI2:AV2"/>
    <mergeCell ref="B3:I3"/>
    <mergeCell ref="J3:AO3"/>
    <mergeCell ref="AP3:AV3"/>
    <mergeCell ref="B4:AV4"/>
    <mergeCell ref="B5:K5"/>
    <mergeCell ref="L5:Y5"/>
    <mergeCell ref="Z5:AE5"/>
    <mergeCell ref="AF5:AV5"/>
    <mergeCell ref="B6:K6"/>
    <mergeCell ref="L6:Y6"/>
    <mergeCell ref="Z6:AE6"/>
    <mergeCell ref="AF6:AV6"/>
    <mergeCell ref="B7:K7"/>
    <mergeCell ref="L7:U7"/>
    <mergeCell ref="V7:Y7"/>
    <mergeCell ref="Z7:AE7"/>
    <mergeCell ref="AF7:AM7"/>
    <mergeCell ref="AO7:AV7"/>
    <mergeCell ref="B8:E8"/>
    <mergeCell ref="F8:W8"/>
    <mergeCell ref="X8:AV8"/>
    <mergeCell ref="B9:E9"/>
    <mergeCell ref="F9:W9"/>
    <mergeCell ref="X9:AV9"/>
    <mergeCell ref="B10:E10"/>
    <mergeCell ref="F10:W10"/>
    <mergeCell ref="X10:AV10"/>
    <mergeCell ref="F11:X11"/>
    <mergeCell ref="Y11:AB11"/>
    <mergeCell ref="AC11:AL11"/>
    <mergeCell ref="AM11:AP11"/>
    <mergeCell ref="AQ11:AV11"/>
    <mergeCell ref="F12:I12"/>
    <mergeCell ref="J12:M12"/>
    <mergeCell ref="N12:AV12"/>
    <mergeCell ref="F13:R13"/>
    <mergeCell ref="S13:AI13"/>
    <mergeCell ref="AJ13:AV13"/>
    <mergeCell ref="F14:AV14"/>
    <mergeCell ref="F15:AE15"/>
    <mergeCell ref="AF15:AM15"/>
    <mergeCell ref="AN15:AV15"/>
    <mergeCell ref="F16:AO16"/>
    <mergeCell ref="AP16:AS16"/>
    <mergeCell ref="AT16:AV16"/>
    <mergeCell ref="F17:L17"/>
    <mergeCell ref="M17:P17"/>
    <mergeCell ref="Q17:Y17"/>
    <mergeCell ref="Z17:AC17"/>
    <mergeCell ref="AD17:AV17"/>
    <mergeCell ref="F18:R18"/>
    <mergeCell ref="S18:AK18"/>
    <mergeCell ref="AL18:AV18"/>
    <mergeCell ref="F19:AV19"/>
    <mergeCell ref="F20:AE20"/>
    <mergeCell ref="AF20:AM20"/>
    <mergeCell ref="AN20:AV20"/>
    <mergeCell ref="B21:AV21"/>
    <mergeCell ref="B22:AV22"/>
    <mergeCell ref="A1:A22"/>
    <mergeCell ref="AW1:AW22"/>
    <mergeCell ref="B11:E15"/>
    <mergeCell ref="B16:E20"/>
  </mergeCells>
  <pageMargins left="0.79" right="0" top="0.59" bottom="0" header="0.51" footer="0.51"/>
  <pageSetup paperSize="9" scale="94" orientation="portrait" horizontalDpi="600" verticalDpi="6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8"/>
  <sheetViews>
    <sheetView topLeftCell="A7" workbookViewId="0">
      <selection activeCell="N12" sqref="N12:N13"/>
    </sheetView>
  </sheetViews>
  <sheetFormatPr defaultColWidth="9.14285714285714" defaultRowHeight="12"/>
  <cols>
    <col min="13" max="13" width="0.285714285714286" customWidth="1"/>
    <col min="14" max="14" width="7" customWidth="1"/>
    <col min="15" max="15" width="5.85714285714286" customWidth="1"/>
  </cols>
  <sheetData>
    <row r="1" ht="42" customHeight="1" spans="1:16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82"/>
    </row>
    <row r="2" ht="42" customHeight="1" spans="1:16">
      <c r="A2" s="4" t="s">
        <v>126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82"/>
    </row>
    <row r="3" ht="45" customHeight="1" spans="1:16">
      <c r="A3" s="5" t="s">
        <v>95</v>
      </c>
      <c r="B3" s="5"/>
      <c r="C3" s="5"/>
      <c r="D3" s="8" t="s">
        <v>127</v>
      </c>
      <c r="E3" s="90"/>
      <c r="F3" s="90"/>
      <c r="G3" s="5" t="s">
        <v>128</v>
      </c>
      <c r="H3" s="5"/>
      <c r="I3" s="92" t="s">
        <v>129</v>
      </c>
      <c r="J3" s="86"/>
      <c r="K3" s="86"/>
      <c r="L3" s="86"/>
      <c r="M3" s="86"/>
      <c r="N3" s="86"/>
      <c r="O3" s="87"/>
      <c r="P3" s="582"/>
    </row>
    <row r="4" ht="38" customHeight="1" spans="1:16">
      <c r="A4" s="5" t="s">
        <v>97</v>
      </c>
      <c r="B4" s="5"/>
      <c r="C4" s="5"/>
      <c r="D4" s="68" t="s">
        <v>130</v>
      </c>
      <c r="E4" s="106"/>
      <c r="F4" s="107"/>
      <c r="G4" s="5" t="s">
        <v>98</v>
      </c>
      <c r="H4" s="5"/>
      <c r="I4" s="92"/>
      <c r="J4" s="86"/>
      <c r="K4" s="86"/>
      <c r="L4" s="86"/>
      <c r="M4" s="86"/>
      <c r="N4" s="86"/>
      <c r="O4" s="87"/>
      <c r="P4" s="582"/>
    </row>
    <row r="5" ht="52" customHeight="1" spans="1:16">
      <c r="A5" s="5" t="s">
        <v>100</v>
      </c>
      <c r="B5" s="5"/>
      <c r="C5" s="5"/>
      <c r="D5" s="68" t="s">
        <v>131</v>
      </c>
      <c r="E5" s="106"/>
      <c r="F5" s="107"/>
      <c r="G5" s="5" t="s">
        <v>102</v>
      </c>
      <c r="H5" s="5"/>
      <c r="I5" s="7" t="s">
        <v>132</v>
      </c>
      <c r="J5" s="50"/>
      <c r="K5" s="50"/>
      <c r="L5" s="50"/>
      <c r="M5" s="50"/>
      <c r="N5" s="50"/>
      <c r="O5" s="51"/>
      <c r="P5" s="582"/>
    </row>
    <row r="6" ht="24" customHeight="1" spans="1:16">
      <c r="A6" s="5" t="s">
        <v>50</v>
      </c>
      <c r="B6" s="5"/>
      <c r="C6" s="5" t="s">
        <v>133</v>
      </c>
      <c r="D6" s="5"/>
      <c r="E6" s="7" t="s">
        <v>134</v>
      </c>
      <c r="F6" s="50"/>
      <c r="G6" s="51"/>
      <c r="H6" s="5" t="s">
        <v>135</v>
      </c>
      <c r="I6" s="5"/>
      <c r="J6" s="5"/>
      <c r="K6" s="5"/>
      <c r="L6" s="5"/>
      <c r="M6" s="5"/>
      <c r="N6" s="5" t="s">
        <v>136</v>
      </c>
      <c r="O6" s="5" t="s">
        <v>137</v>
      </c>
      <c r="P6" s="582"/>
    </row>
    <row r="7" ht="91" customHeight="1" spans="1:16">
      <c r="A7" s="5" t="s">
        <v>138</v>
      </c>
      <c r="B7" s="5">
        <v>1</v>
      </c>
      <c r="C7" s="78" t="s">
        <v>139</v>
      </c>
      <c r="D7" s="78"/>
      <c r="E7" s="7" t="s">
        <v>140</v>
      </c>
      <c r="F7" s="50"/>
      <c r="G7" s="51"/>
      <c r="H7" s="5" t="s">
        <v>141</v>
      </c>
      <c r="I7" s="88"/>
      <c r="J7" s="88"/>
      <c r="K7" s="88"/>
      <c r="L7" s="88"/>
      <c r="M7" s="88"/>
      <c r="N7" s="88" t="s">
        <v>129</v>
      </c>
      <c r="O7" s="89">
        <v>1</v>
      </c>
      <c r="P7" s="582"/>
    </row>
    <row r="8" ht="57" customHeight="1" spans="1:16">
      <c r="A8" s="5"/>
      <c r="B8" s="5">
        <v>2</v>
      </c>
      <c r="C8" s="78" t="s">
        <v>142</v>
      </c>
      <c r="D8" s="78"/>
      <c r="E8" s="7" t="s">
        <v>143</v>
      </c>
      <c r="F8" s="50"/>
      <c r="G8" s="51"/>
      <c r="H8" s="5" t="s">
        <v>144</v>
      </c>
      <c r="I8" s="88"/>
      <c r="J8" s="88"/>
      <c r="K8" s="88"/>
      <c r="L8" s="88"/>
      <c r="M8" s="88"/>
      <c r="N8" s="88" t="s">
        <v>129</v>
      </c>
      <c r="O8" s="89">
        <v>1</v>
      </c>
      <c r="P8" s="582"/>
    </row>
    <row r="9" ht="53" customHeight="1" spans="1:16">
      <c r="A9" s="5"/>
      <c r="B9" s="5">
        <v>3</v>
      </c>
      <c r="C9" s="78" t="s">
        <v>145</v>
      </c>
      <c r="D9" s="78"/>
      <c r="E9" s="7" t="s">
        <v>146</v>
      </c>
      <c r="F9" s="50"/>
      <c r="G9" s="51"/>
      <c r="H9" s="10" t="s">
        <v>147</v>
      </c>
      <c r="I9" s="565"/>
      <c r="J9" s="565"/>
      <c r="K9" s="565"/>
      <c r="L9" s="565"/>
      <c r="M9" s="565"/>
      <c r="N9" s="88" t="s">
        <v>129</v>
      </c>
      <c r="O9" s="89">
        <v>1</v>
      </c>
      <c r="P9" s="582"/>
    </row>
    <row r="10" ht="56" customHeight="1" spans="1:16">
      <c r="A10" s="5" t="s">
        <v>148</v>
      </c>
      <c r="B10" s="5">
        <v>1</v>
      </c>
      <c r="C10" s="11" t="s">
        <v>149</v>
      </c>
      <c r="D10" s="12"/>
      <c r="E10" s="5" t="s">
        <v>150</v>
      </c>
      <c r="F10" s="5" t="s">
        <v>151</v>
      </c>
      <c r="G10" s="5"/>
      <c r="H10" s="92" t="s">
        <v>129</v>
      </c>
      <c r="I10" s="86"/>
      <c r="J10" s="86"/>
      <c r="K10" s="86"/>
      <c r="L10" s="86"/>
      <c r="M10" s="87"/>
      <c r="N10" s="88" t="s">
        <v>129</v>
      </c>
      <c r="O10" s="88" t="s">
        <v>129</v>
      </c>
      <c r="P10" s="582"/>
    </row>
    <row r="11" ht="89" customHeight="1" spans="1:16">
      <c r="A11" s="5"/>
      <c r="B11" s="5"/>
      <c r="C11" s="18"/>
      <c r="D11" s="19"/>
      <c r="E11" s="5" t="s">
        <v>152</v>
      </c>
      <c r="F11" s="5" t="s">
        <v>153</v>
      </c>
      <c r="G11" s="5"/>
      <c r="H11" s="68" t="s">
        <v>154</v>
      </c>
      <c r="I11" s="106"/>
      <c r="J11" s="106"/>
      <c r="K11" s="106"/>
      <c r="L11" s="106"/>
      <c r="M11" s="107"/>
      <c r="N11" s="90">
        <v>20</v>
      </c>
      <c r="O11" s="91">
        <v>1</v>
      </c>
      <c r="P11" s="582"/>
    </row>
    <row r="12" ht="34" customHeight="1" spans="1:16">
      <c r="A12" s="5"/>
      <c r="B12" s="5">
        <v>2</v>
      </c>
      <c r="C12" s="78" t="s">
        <v>155</v>
      </c>
      <c r="D12" s="78"/>
      <c r="E12" s="13" t="s">
        <v>156</v>
      </c>
      <c r="F12" s="79"/>
      <c r="G12" s="14"/>
      <c r="H12" s="579" t="s">
        <v>157</v>
      </c>
      <c r="I12" s="583"/>
      <c r="J12" s="583"/>
      <c r="K12" s="583"/>
      <c r="L12" s="583"/>
      <c r="M12" s="584"/>
      <c r="N12" s="97">
        <v>5</v>
      </c>
      <c r="O12" s="98">
        <v>0.833</v>
      </c>
      <c r="P12" s="582"/>
    </row>
    <row r="13" ht="13.5" spans="1:16">
      <c r="A13" s="5"/>
      <c r="B13" s="5"/>
      <c r="C13" s="78"/>
      <c r="D13" s="78"/>
      <c r="E13" s="20"/>
      <c r="F13" s="44"/>
      <c r="G13" s="21"/>
      <c r="H13" s="580"/>
      <c r="I13" s="585"/>
      <c r="J13" s="585"/>
      <c r="K13" s="585"/>
      <c r="L13" s="585"/>
      <c r="M13" s="586"/>
      <c r="N13" s="102"/>
      <c r="O13" s="103"/>
      <c r="P13" s="582"/>
    </row>
    <row r="14" ht="26" customHeight="1" spans="1:16">
      <c r="A14" s="13" t="s">
        <v>158</v>
      </c>
      <c r="B14" s="14"/>
      <c r="C14" s="11" t="s">
        <v>159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12"/>
      <c r="P14" s="75"/>
    </row>
    <row r="15" ht="18" customHeight="1" spans="1:16">
      <c r="A15" s="41"/>
      <c r="B15" s="61"/>
      <c r="C15" s="558" t="s">
        <v>160</v>
      </c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76"/>
      <c r="P15" s="587"/>
    </row>
    <row r="16" ht="18" customHeight="1" spans="1:16">
      <c r="A16" s="41"/>
      <c r="B16" s="61"/>
      <c r="C16" s="558" t="s">
        <v>161</v>
      </c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581"/>
      <c r="O16" s="576"/>
      <c r="P16" s="587"/>
    </row>
    <row r="17" ht="18" customHeight="1" spans="1:16">
      <c r="A17" s="41"/>
      <c r="B17" s="61"/>
      <c r="C17" s="4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60"/>
      <c r="P17" s="582"/>
    </row>
    <row r="18" ht="18" customHeight="1" spans="1:16">
      <c r="A18" s="41"/>
      <c r="B18" s="61"/>
      <c r="C18" s="4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60"/>
      <c r="P18" s="582"/>
    </row>
    <row r="19" ht="18" customHeight="1" spans="1:16">
      <c r="A19" s="41"/>
      <c r="B19" s="61"/>
      <c r="C19" s="40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60"/>
      <c r="P19" s="582"/>
    </row>
    <row r="20" ht="18" customHeight="1" spans="1:16">
      <c r="A20" s="41"/>
      <c r="B20" s="61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62"/>
      <c r="P20" s="582"/>
    </row>
    <row r="21" ht="18" customHeight="1" spans="1:16">
      <c r="A21" s="20"/>
      <c r="B21" s="21"/>
      <c r="C21" s="562" t="s">
        <v>162</v>
      </c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78"/>
      <c r="P21" s="582"/>
    </row>
    <row r="22" ht="18" customHeight="1" spans="1:16">
      <c r="A22" s="13" t="s">
        <v>163</v>
      </c>
      <c r="B22" s="14"/>
      <c r="C22" s="37" t="s">
        <v>164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59"/>
      <c r="P22" s="582"/>
    </row>
    <row r="23" ht="18" customHeight="1" spans="1:16">
      <c r="A23" s="41"/>
      <c r="B23" s="61"/>
      <c r="C23" s="40" t="s">
        <v>165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60"/>
      <c r="P23" s="582"/>
    </row>
    <row r="24" ht="18" customHeight="1" spans="1:16">
      <c r="A24" s="41"/>
      <c r="B24" s="61"/>
      <c r="C24" s="40" t="s">
        <v>166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60"/>
      <c r="P24" s="582"/>
    </row>
    <row r="25" ht="18" customHeight="1" spans="1:16">
      <c r="A25" s="41"/>
      <c r="B25" s="61"/>
      <c r="C25" s="40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60"/>
      <c r="P25" s="582"/>
    </row>
    <row r="26" ht="18" customHeight="1" spans="1:16">
      <c r="A26" s="41"/>
      <c r="B26" s="61"/>
      <c r="C26" s="40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60"/>
      <c r="P26" s="582"/>
    </row>
    <row r="27" ht="18" customHeight="1" spans="1:16">
      <c r="A27" s="41"/>
      <c r="B27" s="61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62"/>
      <c r="P27" s="582"/>
    </row>
    <row r="28" ht="18" customHeight="1" spans="1:16">
      <c r="A28" s="20"/>
      <c r="B28" s="21"/>
      <c r="C28" s="562" t="s">
        <v>162</v>
      </c>
      <c r="D28" s="563"/>
      <c r="E28" s="563"/>
      <c r="F28" s="563"/>
      <c r="G28" s="563"/>
      <c r="H28" s="563"/>
      <c r="I28" s="563"/>
      <c r="J28" s="563"/>
      <c r="K28" s="563"/>
      <c r="L28" s="563"/>
      <c r="M28" s="563"/>
      <c r="N28" s="563"/>
      <c r="O28" s="578"/>
      <c r="P28" s="582"/>
    </row>
  </sheetData>
  <mergeCells count="58">
    <mergeCell ref="A1:O1"/>
    <mergeCell ref="A2:O2"/>
    <mergeCell ref="A3:C3"/>
    <mergeCell ref="D3:F3"/>
    <mergeCell ref="G3:H3"/>
    <mergeCell ref="I3:O3"/>
    <mergeCell ref="A4:C4"/>
    <mergeCell ref="D4:F4"/>
    <mergeCell ref="G4:H4"/>
    <mergeCell ref="I4:O4"/>
    <mergeCell ref="A5:C5"/>
    <mergeCell ref="D5:F5"/>
    <mergeCell ref="G5:H5"/>
    <mergeCell ref="I5:O5"/>
    <mergeCell ref="A6:B6"/>
    <mergeCell ref="C6:D6"/>
    <mergeCell ref="E6:G6"/>
    <mergeCell ref="H6:M6"/>
    <mergeCell ref="C7:D7"/>
    <mergeCell ref="E7:G7"/>
    <mergeCell ref="H7:M7"/>
    <mergeCell ref="C8:D8"/>
    <mergeCell ref="E8:G8"/>
    <mergeCell ref="H8:M8"/>
    <mergeCell ref="C9:D9"/>
    <mergeCell ref="E9:G9"/>
    <mergeCell ref="H9:M9"/>
    <mergeCell ref="F10:G10"/>
    <mergeCell ref="H10:M10"/>
    <mergeCell ref="F11:G11"/>
    <mergeCell ref="H11:M11"/>
    <mergeCell ref="C14:O14"/>
    <mergeCell ref="C15:O15"/>
    <mergeCell ref="C16:O16"/>
    <mergeCell ref="C17:O17"/>
    <mergeCell ref="C18:O18"/>
    <mergeCell ref="C19:O19"/>
    <mergeCell ref="C20:O20"/>
    <mergeCell ref="C21:O21"/>
    <mergeCell ref="C22:O22"/>
    <mergeCell ref="C23:O23"/>
    <mergeCell ref="C24:O24"/>
    <mergeCell ref="C25:O25"/>
    <mergeCell ref="C26:O26"/>
    <mergeCell ref="C27:O27"/>
    <mergeCell ref="C28:O28"/>
    <mergeCell ref="A7:A9"/>
    <mergeCell ref="A10:A13"/>
    <mergeCell ref="B10:B11"/>
    <mergeCell ref="B12:B13"/>
    <mergeCell ref="N12:N13"/>
    <mergeCell ref="O12:O13"/>
    <mergeCell ref="C10:D11"/>
    <mergeCell ref="C12:D13"/>
    <mergeCell ref="E12:G13"/>
    <mergeCell ref="H12:M13"/>
    <mergeCell ref="A14:B21"/>
    <mergeCell ref="A22:B28"/>
  </mergeCells>
  <pageMargins left="0.75" right="0.75" top="1" bottom="1" header="0.5" footer="0.5"/>
  <pageSetup paperSize="9" scale="74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6"/>
  <sheetViews>
    <sheetView topLeftCell="A21" workbookViewId="0">
      <selection activeCell="G24" sqref="G24:H25"/>
    </sheetView>
  </sheetViews>
  <sheetFormatPr defaultColWidth="9.14285714285714" defaultRowHeight="12"/>
  <cols>
    <col min="14" max="14" width="5.14285714285714" customWidth="1"/>
  </cols>
  <sheetData>
    <row r="1" ht="27" customHeight="1" spans="1:16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7" customHeight="1" spans="1:16">
      <c r="A2" s="4" t="s">
        <v>167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4" customHeight="1" spans="1:16">
      <c r="A3" s="5" t="s">
        <v>95</v>
      </c>
      <c r="B3" s="5"/>
      <c r="C3" s="5"/>
      <c r="D3" s="5"/>
      <c r="E3" s="5"/>
      <c r="F3" s="8" t="s">
        <v>127</v>
      </c>
      <c r="G3" s="90"/>
      <c r="H3" s="5" t="s">
        <v>128</v>
      </c>
      <c r="I3" s="5"/>
      <c r="J3" s="92" t="s">
        <v>129</v>
      </c>
      <c r="K3" s="86"/>
      <c r="L3" s="86"/>
      <c r="M3" s="86"/>
      <c r="N3" s="86"/>
      <c r="O3" s="86"/>
      <c r="P3" s="87"/>
    </row>
    <row r="4" ht="24" customHeight="1" spans="1:16">
      <c r="A4" s="5" t="s">
        <v>97</v>
      </c>
      <c r="B4" s="5"/>
      <c r="C4" s="5"/>
      <c r="D4" s="5"/>
      <c r="E4" s="5"/>
      <c r="F4" s="8" t="s">
        <v>130</v>
      </c>
      <c r="G4" s="90"/>
      <c r="H4" s="5" t="s">
        <v>98</v>
      </c>
      <c r="I4" s="5"/>
      <c r="J4" s="92" t="s">
        <v>99</v>
      </c>
      <c r="K4" s="86"/>
      <c r="L4" s="86"/>
      <c r="M4" s="86"/>
      <c r="N4" s="86"/>
      <c r="O4" s="86"/>
      <c r="P4" s="87"/>
    </row>
    <row r="5" ht="26" customHeight="1" spans="1:16">
      <c r="A5" s="5" t="s">
        <v>100</v>
      </c>
      <c r="B5" s="5"/>
      <c r="C5" s="5"/>
      <c r="D5" s="5"/>
      <c r="E5" s="5"/>
      <c r="F5" s="8" t="s">
        <v>131</v>
      </c>
      <c r="G5" s="90"/>
      <c r="H5" s="5" t="s">
        <v>102</v>
      </c>
      <c r="I5" s="5"/>
      <c r="J5" s="7" t="s">
        <v>168</v>
      </c>
      <c r="K5" s="50"/>
      <c r="L5" s="50"/>
      <c r="M5" s="50"/>
      <c r="N5" s="50"/>
      <c r="O5" s="50"/>
      <c r="P5" s="51"/>
    </row>
    <row r="6" ht="25" customHeight="1" spans="1:16">
      <c r="A6" s="5" t="s">
        <v>50</v>
      </c>
      <c r="B6" s="5"/>
      <c r="C6" s="5" t="s">
        <v>133</v>
      </c>
      <c r="D6" s="5"/>
      <c r="E6" s="5"/>
      <c r="F6" s="5"/>
      <c r="G6" s="5" t="s">
        <v>134</v>
      </c>
      <c r="H6" s="5"/>
      <c r="I6" s="5" t="s">
        <v>135</v>
      </c>
      <c r="J6" s="5"/>
      <c r="K6" s="5"/>
      <c r="L6" s="5"/>
      <c r="M6" s="5"/>
      <c r="N6" s="5"/>
      <c r="O6" s="5" t="s">
        <v>136</v>
      </c>
      <c r="P6" s="5" t="s">
        <v>137</v>
      </c>
    </row>
    <row r="7" ht="79" customHeight="1" spans="1:16">
      <c r="A7" s="5" t="s">
        <v>138</v>
      </c>
      <c r="B7" s="5">
        <v>1</v>
      </c>
      <c r="C7" s="5" t="s">
        <v>169</v>
      </c>
      <c r="D7" s="5"/>
      <c r="E7" s="5"/>
      <c r="F7" s="5"/>
      <c r="G7" s="27" t="s">
        <v>170</v>
      </c>
      <c r="H7" s="27"/>
      <c r="I7" s="8" t="s">
        <v>171</v>
      </c>
      <c r="J7" s="88"/>
      <c r="K7" s="88"/>
      <c r="L7" s="88"/>
      <c r="M7" s="88"/>
      <c r="N7" s="88"/>
      <c r="O7" s="88" t="s">
        <v>129</v>
      </c>
      <c r="P7" s="564">
        <v>1</v>
      </c>
    </row>
    <row r="8" ht="89" customHeight="1" spans="1:16">
      <c r="A8" s="5"/>
      <c r="B8" s="5">
        <v>2</v>
      </c>
      <c r="C8" s="5" t="s">
        <v>172</v>
      </c>
      <c r="D8" s="5"/>
      <c r="E8" s="5"/>
      <c r="F8" s="5"/>
      <c r="G8" s="27" t="s">
        <v>173</v>
      </c>
      <c r="H8" s="27"/>
      <c r="I8" s="7" t="s">
        <v>174</v>
      </c>
      <c r="J8" s="86"/>
      <c r="K8" s="86"/>
      <c r="L8" s="86"/>
      <c r="M8" s="86"/>
      <c r="N8" s="87"/>
      <c r="O8" s="88" t="s">
        <v>129</v>
      </c>
      <c r="P8" s="564">
        <v>1</v>
      </c>
    </row>
    <row r="9" ht="69" customHeight="1" spans="1:16">
      <c r="A9" s="5"/>
      <c r="B9" s="5">
        <v>3</v>
      </c>
      <c r="C9" s="5" t="s">
        <v>175</v>
      </c>
      <c r="D9" s="5"/>
      <c r="E9" s="5"/>
      <c r="F9" s="5"/>
      <c r="G9" s="27" t="s">
        <v>176</v>
      </c>
      <c r="H9" s="27"/>
      <c r="I9" s="10" t="s">
        <v>177</v>
      </c>
      <c r="J9" s="565"/>
      <c r="K9" s="565"/>
      <c r="L9" s="565"/>
      <c r="M9" s="565"/>
      <c r="N9" s="565"/>
      <c r="O9" s="88" t="s">
        <v>129</v>
      </c>
      <c r="P9" s="564">
        <v>1</v>
      </c>
    </row>
    <row r="10" ht="47" customHeight="1" spans="1:16">
      <c r="A10" s="5" t="s">
        <v>148</v>
      </c>
      <c r="B10" s="5">
        <v>1</v>
      </c>
      <c r="C10" s="5" t="s">
        <v>178</v>
      </c>
      <c r="D10" s="10" t="s">
        <v>179</v>
      </c>
      <c r="E10" s="13" t="s">
        <v>180</v>
      </c>
      <c r="F10" s="14"/>
      <c r="G10" s="13" t="s">
        <v>181</v>
      </c>
      <c r="H10" s="79"/>
      <c r="I10" s="129" t="s">
        <v>129</v>
      </c>
      <c r="J10" s="93"/>
      <c r="K10" s="93"/>
      <c r="L10" s="93"/>
      <c r="M10" s="93"/>
      <c r="N10" s="94"/>
      <c r="O10" s="94" t="s">
        <v>129</v>
      </c>
      <c r="P10" s="566" t="s">
        <v>129</v>
      </c>
    </row>
    <row r="11" ht="25" customHeight="1" spans="1:16">
      <c r="A11" s="5"/>
      <c r="B11" s="5"/>
      <c r="C11" s="5"/>
      <c r="D11" s="30"/>
      <c r="E11" s="20"/>
      <c r="F11" s="21"/>
      <c r="G11" s="20"/>
      <c r="H11" s="44"/>
      <c r="I11" s="130"/>
      <c r="J11" s="131"/>
      <c r="K11" s="131"/>
      <c r="L11" s="131"/>
      <c r="M11" s="131"/>
      <c r="N11" s="132"/>
      <c r="O11" s="132"/>
      <c r="P11" s="567"/>
    </row>
    <row r="12" ht="25" customHeight="1" spans="1:16">
      <c r="A12" s="5"/>
      <c r="B12" s="5"/>
      <c r="C12" s="5"/>
      <c r="D12" s="30"/>
      <c r="E12" s="13" t="s">
        <v>182</v>
      </c>
      <c r="F12" s="14"/>
      <c r="G12" s="13" t="s">
        <v>183</v>
      </c>
      <c r="H12" s="14"/>
      <c r="I12" s="129" t="s">
        <v>129</v>
      </c>
      <c r="J12" s="93"/>
      <c r="K12" s="93"/>
      <c r="L12" s="93"/>
      <c r="M12" s="93"/>
      <c r="N12" s="94"/>
      <c r="O12" s="94" t="s">
        <v>129</v>
      </c>
      <c r="P12" s="566" t="s">
        <v>129</v>
      </c>
    </row>
    <row r="13" ht="25" customHeight="1" spans="1:16">
      <c r="A13" s="5"/>
      <c r="B13" s="5"/>
      <c r="C13" s="5"/>
      <c r="D13" s="30"/>
      <c r="E13" s="20"/>
      <c r="F13" s="21"/>
      <c r="G13" s="20"/>
      <c r="H13" s="21"/>
      <c r="I13" s="130"/>
      <c r="J13" s="131"/>
      <c r="K13" s="131"/>
      <c r="L13" s="131"/>
      <c r="M13" s="131"/>
      <c r="N13" s="132"/>
      <c r="O13" s="132"/>
      <c r="P13" s="567"/>
    </row>
    <row r="14" ht="35" customHeight="1" spans="1:16">
      <c r="A14" s="5"/>
      <c r="B14" s="5"/>
      <c r="C14" s="5"/>
      <c r="D14" s="30"/>
      <c r="E14" s="13" t="s">
        <v>184</v>
      </c>
      <c r="F14" s="14"/>
      <c r="G14" s="13" t="s">
        <v>185</v>
      </c>
      <c r="H14" s="79"/>
      <c r="I14" s="129" t="s">
        <v>129</v>
      </c>
      <c r="J14" s="93"/>
      <c r="K14" s="93"/>
      <c r="L14" s="93"/>
      <c r="M14" s="93"/>
      <c r="N14" s="94"/>
      <c r="O14" s="94" t="s">
        <v>129</v>
      </c>
      <c r="P14" s="566" t="s">
        <v>129</v>
      </c>
    </row>
    <row r="15" ht="35" customHeight="1" spans="1:16">
      <c r="A15" s="5"/>
      <c r="B15" s="5"/>
      <c r="C15" s="5"/>
      <c r="D15" s="30"/>
      <c r="E15" s="41"/>
      <c r="F15" s="61"/>
      <c r="G15" s="41"/>
      <c r="H15" s="42"/>
      <c r="I15" s="130"/>
      <c r="J15" s="131"/>
      <c r="K15" s="131"/>
      <c r="L15" s="131"/>
      <c r="M15" s="131"/>
      <c r="N15" s="132"/>
      <c r="O15" s="132"/>
      <c r="P15" s="567"/>
    </row>
    <row r="16" ht="22" customHeight="1" spans="1:16">
      <c r="A16" s="5"/>
      <c r="B16" s="5"/>
      <c r="C16" s="5"/>
      <c r="D16" s="30"/>
      <c r="E16" s="13" t="s">
        <v>186</v>
      </c>
      <c r="F16" s="14"/>
      <c r="G16" s="13" t="s">
        <v>187</v>
      </c>
      <c r="H16" s="14"/>
      <c r="I16" s="129" t="s">
        <v>129</v>
      </c>
      <c r="J16" s="93"/>
      <c r="K16" s="93"/>
      <c r="L16" s="93"/>
      <c r="M16" s="93"/>
      <c r="N16" s="94"/>
      <c r="O16" s="94" t="s">
        <v>129</v>
      </c>
      <c r="P16" s="566" t="s">
        <v>129</v>
      </c>
    </row>
    <row r="17" ht="22" customHeight="1" spans="1:16">
      <c r="A17" s="5"/>
      <c r="B17" s="5"/>
      <c r="C17" s="5"/>
      <c r="D17" s="17"/>
      <c r="E17" s="20"/>
      <c r="F17" s="21"/>
      <c r="G17" s="20"/>
      <c r="H17" s="21"/>
      <c r="I17" s="130"/>
      <c r="J17" s="131"/>
      <c r="K17" s="131"/>
      <c r="L17" s="131"/>
      <c r="M17" s="131"/>
      <c r="N17" s="132"/>
      <c r="O17" s="132"/>
      <c r="P17" s="567"/>
    </row>
    <row r="18" ht="33" customHeight="1" spans="1:16">
      <c r="A18" s="5"/>
      <c r="B18" s="5"/>
      <c r="C18" s="5"/>
      <c r="D18" s="5" t="s">
        <v>188</v>
      </c>
      <c r="E18" s="13" t="s">
        <v>180</v>
      </c>
      <c r="F18" s="14"/>
      <c r="G18" s="13" t="s">
        <v>189</v>
      </c>
      <c r="H18" s="14"/>
      <c r="I18" s="129" t="s">
        <v>129</v>
      </c>
      <c r="J18" s="93"/>
      <c r="K18" s="93"/>
      <c r="L18" s="93"/>
      <c r="M18" s="93"/>
      <c r="N18" s="94"/>
      <c r="O18" s="94" t="s">
        <v>129</v>
      </c>
      <c r="P18" s="566" t="s">
        <v>129</v>
      </c>
    </row>
    <row r="19" ht="33" customHeight="1" spans="1:16">
      <c r="A19" s="5"/>
      <c r="B19" s="5"/>
      <c r="C19" s="5"/>
      <c r="D19" s="5"/>
      <c r="E19" s="20"/>
      <c r="F19" s="21"/>
      <c r="G19" s="20"/>
      <c r="H19" s="21"/>
      <c r="I19" s="130"/>
      <c r="J19" s="131"/>
      <c r="K19" s="131"/>
      <c r="L19" s="131"/>
      <c r="M19" s="131"/>
      <c r="N19" s="132"/>
      <c r="O19" s="132"/>
      <c r="P19" s="567"/>
    </row>
    <row r="20" ht="45" customHeight="1" spans="1:16">
      <c r="A20" s="5"/>
      <c r="B20" s="5"/>
      <c r="C20" s="5"/>
      <c r="D20" s="5"/>
      <c r="E20" s="13" t="s">
        <v>182</v>
      </c>
      <c r="F20" s="14"/>
      <c r="G20" s="13" t="s">
        <v>190</v>
      </c>
      <c r="H20" s="14"/>
      <c r="I20" s="95" t="s">
        <v>191</v>
      </c>
      <c r="J20" s="96"/>
      <c r="K20" s="96"/>
      <c r="L20" s="96"/>
      <c r="M20" s="96"/>
      <c r="N20" s="97"/>
      <c r="O20" s="97">
        <v>18</v>
      </c>
      <c r="P20" s="568">
        <v>0.9</v>
      </c>
    </row>
    <row r="21" ht="24" customHeight="1" spans="1:16">
      <c r="A21" s="5"/>
      <c r="B21" s="5"/>
      <c r="C21" s="5"/>
      <c r="D21" s="5"/>
      <c r="E21" s="20"/>
      <c r="F21" s="21"/>
      <c r="G21" s="31" t="s">
        <v>192</v>
      </c>
      <c r="H21" s="21"/>
      <c r="I21" s="263"/>
      <c r="J21" s="104"/>
      <c r="K21" s="104"/>
      <c r="L21" s="104"/>
      <c r="M21" s="104"/>
      <c r="N21" s="102"/>
      <c r="O21" s="102"/>
      <c r="P21" s="569"/>
    </row>
    <row r="22" ht="46" customHeight="1" spans="1:16">
      <c r="A22" s="5"/>
      <c r="B22" s="5"/>
      <c r="C22" s="5"/>
      <c r="D22" s="5"/>
      <c r="E22" s="13" t="s">
        <v>193</v>
      </c>
      <c r="F22" s="14"/>
      <c r="G22" s="13" t="s">
        <v>189</v>
      </c>
      <c r="H22" s="79"/>
      <c r="I22" s="262" t="s">
        <v>194</v>
      </c>
      <c r="J22" s="96"/>
      <c r="K22" s="96"/>
      <c r="L22" s="96"/>
      <c r="M22" s="96"/>
      <c r="N22" s="97"/>
      <c r="O22" s="97">
        <v>8</v>
      </c>
      <c r="P22" s="568">
        <v>0.8</v>
      </c>
    </row>
    <row r="23" ht="24" customHeight="1" spans="1:16">
      <c r="A23" s="5"/>
      <c r="B23" s="5"/>
      <c r="C23" s="5"/>
      <c r="D23" s="5"/>
      <c r="E23" s="20"/>
      <c r="F23" s="21"/>
      <c r="G23" s="31" t="s">
        <v>195</v>
      </c>
      <c r="H23" s="43"/>
      <c r="I23" s="263"/>
      <c r="J23" s="104"/>
      <c r="K23" s="104"/>
      <c r="L23" s="104"/>
      <c r="M23" s="104"/>
      <c r="N23" s="102"/>
      <c r="O23" s="102"/>
      <c r="P23" s="569"/>
    </row>
    <row r="24" ht="25" customHeight="1" spans="1:16">
      <c r="A24" s="5"/>
      <c r="B24" s="5"/>
      <c r="C24" s="5"/>
      <c r="D24" s="5"/>
      <c r="E24" s="13" t="s">
        <v>196</v>
      </c>
      <c r="F24" s="14"/>
      <c r="G24" s="13" t="s">
        <v>197</v>
      </c>
      <c r="H24" s="14"/>
      <c r="I24" s="570" t="s">
        <v>198</v>
      </c>
      <c r="J24" s="571"/>
      <c r="K24" s="571"/>
      <c r="L24" s="571"/>
      <c r="M24" s="571"/>
      <c r="N24" s="572"/>
      <c r="O24" s="572">
        <v>8</v>
      </c>
      <c r="P24" s="568">
        <v>0.8</v>
      </c>
    </row>
    <row r="25" ht="25" customHeight="1" spans="1:16">
      <c r="A25" s="5"/>
      <c r="B25" s="5"/>
      <c r="C25" s="5"/>
      <c r="D25" s="5"/>
      <c r="E25" s="20"/>
      <c r="F25" s="21"/>
      <c r="G25" s="20"/>
      <c r="H25" s="21"/>
      <c r="I25" s="573"/>
      <c r="J25" s="574"/>
      <c r="K25" s="574"/>
      <c r="L25" s="574"/>
      <c r="M25" s="574"/>
      <c r="N25" s="575"/>
      <c r="O25" s="575"/>
      <c r="P25" s="569"/>
    </row>
    <row r="26" ht="18" customHeight="1" spans="1:16">
      <c r="A26" s="13" t="s">
        <v>199</v>
      </c>
      <c r="B26" s="14"/>
      <c r="C26" s="37" t="s">
        <v>159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59"/>
    </row>
    <row r="27" ht="18" customHeight="1" spans="1:16">
      <c r="A27" s="41"/>
      <c r="B27" s="61"/>
      <c r="C27" s="558" t="s">
        <v>160</v>
      </c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76"/>
    </row>
    <row r="28" ht="18" customHeight="1" spans="1:16">
      <c r="A28" s="41"/>
      <c r="B28" s="61"/>
      <c r="C28" s="560" t="s">
        <v>161</v>
      </c>
      <c r="D28" s="561"/>
      <c r="E28" s="561"/>
      <c r="F28" s="561"/>
      <c r="G28" s="561"/>
      <c r="H28" s="561"/>
      <c r="I28" s="561"/>
      <c r="J28" s="561"/>
      <c r="K28" s="561"/>
      <c r="L28" s="561"/>
      <c r="M28" s="561"/>
      <c r="N28" s="561"/>
      <c r="O28" s="561"/>
      <c r="P28" s="577"/>
    </row>
    <row r="29" ht="18" customHeight="1" spans="1:16">
      <c r="A29" s="41"/>
      <c r="B29" s="61"/>
      <c r="C29" s="40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60"/>
    </row>
    <row r="30" ht="18" customHeight="1" spans="1:16">
      <c r="A30" s="41"/>
      <c r="B30" s="61"/>
      <c r="C30" s="45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62"/>
    </row>
    <row r="31" ht="18" customHeight="1" spans="1:16">
      <c r="A31" s="20"/>
      <c r="B31" s="21"/>
      <c r="C31" s="562" t="s">
        <v>200</v>
      </c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78"/>
    </row>
    <row r="32" ht="18" customHeight="1" spans="1:16">
      <c r="A32" s="13" t="s">
        <v>201</v>
      </c>
      <c r="B32" s="14"/>
      <c r="C32" s="37" t="s">
        <v>164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59"/>
    </row>
    <row r="33" ht="18" customHeight="1" spans="1:16">
      <c r="A33" s="41"/>
      <c r="B33" s="61"/>
      <c r="C33" s="82" t="s">
        <v>165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111"/>
    </row>
    <row r="34" ht="18" customHeight="1" spans="1:16">
      <c r="A34" s="41"/>
      <c r="B34" s="61"/>
      <c r="C34" s="40" t="s">
        <v>202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60"/>
    </row>
    <row r="35" ht="18" customHeight="1" spans="1:16">
      <c r="A35" s="41"/>
      <c r="B35" s="61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62"/>
    </row>
    <row r="36" ht="18" customHeight="1" spans="1:16">
      <c r="A36" s="20"/>
      <c r="B36" s="21"/>
      <c r="C36" s="562" t="s">
        <v>203</v>
      </c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3"/>
      <c r="P36" s="578"/>
    </row>
  </sheetData>
  <mergeCells count="88">
    <mergeCell ref="A1:P1"/>
    <mergeCell ref="A2:P2"/>
    <mergeCell ref="A3:E3"/>
    <mergeCell ref="F3:G3"/>
    <mergeCell ref="H3:I3"/>
    <mergeCell ref="J3:P3"/>
    <mergeCell ref="A4:E4"/>
    <mergeCell ref="F4:G4"/>
    <mergeCell ref="H4:I4"/>
    <mergeCell ref="J4:P4"/>
    <mergeCell ref="A5:E5"/>
    <mergeCell ref="F5:G5"/>
    <mergeCell ref="H5:I5"/>
    <mergeCell ref="J5:P5"/>
    <mergeCell ref="A6:B6"/>
    <mergeCell ref="C6:F6"/>
    <mergeCell ref="G6:H6"/>
    <mergeCell ref="I6:N6"/>
    <mergeCell ref="C7:F7"/>
    <mergeCell ref="G7:H7"/>
    <mergeCell ref="I7:N7"/>
    <mergeCell ref="C8:F8"/>
    <mergeCell ref="G8:H8"/>
    <mergeCell ref="I8:N8"/>
    <mergeCell ref="C9:F9"/>
    <mergeCell ref="G9:H9"/>
    <mergeCell ref="I9:N9"/>
    <mergeCell ref="G20:H20"/>
    <mergeCell ref="G21:H21"/>
    <mergeCell ref="G22:H22"/>
    <mergeCell ref="G23:H23"/>
    <mergeCell ref="C26:P26"/>
    <mergeCell ref="C27:P27"/>
    <mergeCell ref="C28:P28"/>
    <mergeCell ref="C29:P29"/>
    <mergeCell ref="C30:P30"/>
    <mergeCell ref="C31:P31"/>
    <mergeCell ref="C32:P32"/>
    <mergeCell ref="C33:P33"/>
    <mergeCell ref="C34:P34"/>
    <mergeCell ref="C35:P35"/>
    <mergeCell ref="C36:P36"/>
    <mergeCell ref="A7:A9"/>
    <mergeCell ref="A10:A25"/>
    <mergeCell ref="B10:B25"/>
    <mergeCell ref="C10:C25"/>
    <mergeCell ref="D10:D17"/>
    <mergeCell ref="D18:D25"/>
    <mergeCell ref="O10:O11"/>
    <mergeCell ref="O12:O13"/>
    <mergeCell ref="O14:O15"/>
    <mergeCell ref="O16:O17"/>
    <mergeCell ref="O18:O19"/>
    <mergeCell ref="O20:O21"/>
    <mergeCell ref="O22:O23"/>
    <mergeCell ref="O24:O25"/>
    <mergeCell ref="P10:P11"/>
    <mergeCell ref="P12:P13"/>
    <mergeCell ref="P14:P15"/>
    <mergeCell ref="P16:P17"/>
    <mergeCell ref="P18:P19"/>
    <mergeCell ref="P20:P21"/>
    <mergeCell ref="P22:P23"/>
    <mergeCell ref="P24:P25"/>
    <mergeCell ref="E10:F11"/>
    <mergeCell ref="G10:H11"/>
    <mergeCell ref="I10:N11"/>
    <mergeCell ref="E12:F13"/>
    <mergeCell ref="G12:H13"/>
    <mergeCell ref="I12:N13"/>
    <mergeCell ref="E14:F15"/>
    <mergeCell ref="G14:H15"/>
    <mergeCell ref="I14:N15"/>
    <mergeCell ref="E16:F17"/>
    <mergeCell ref="G16:H17"/>
    <mergeCell ref="I16:N17"/>
    <mergeCell ref="E18:F19"/>
    <mergeCell ref="G18:H19"/>
    <mergeCell ref="I18:N19"/>
    <mergeCell ref="E20:F21"/>
    <mergeCell ref="I20:N21"/>
    <mergeCell ref="E22:F23"/>
    <mergeCell ref="I22:N23"/>
    <mergeCell ref="E24:F25"/>
    <mergeCell ref="G24:H25"/>
    <mergeCell ref="I24:N25"/>
    <mergeCell ref="A26:B31"/>
    <mergeCell ref="A32:B36"/>
  </mergeCells>
  <pageMargins left="0.75" right="0.75" top="1" bottom="1" header="0.5" footer="0.5"/>
  <pageSetup paperSize="9" scale="6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1"/>
  <sheetViews>
    <sheetView view="pageBreakPreview" zoomScaleNormal="100" topLeftCell="A7" workbookViewId="0">
      <selection activeCell="X11" sqref="X11:AK11"/>
    </sheetView>
  </sheetViews>
  <sheetFormatPr defaultColWidth="9.24761904761905" defaultRowHeight="12"/>
  <cols>
    <col min="1" max="1" width="0.838095238095238" customWidth="1"/>
    <col min="2" max="2" width="2.71428571428571" customWidth="1"/>
    <col min="3" max="3" width="2" customWidth="1"/>
    <col min="4" max="6" width="2.71428571428571" customWidth="1"/>
    <col min="7" max="7" width="2.83809523809524" customWidth="1"/>
    <col min="8" max="8" width="3.13333333333333" customWidth="1"/>
    <col min="9" max="9" width="2.71428571428571" customWidth="1"/>
    <col min="10" max="12" width="2.83809523809524" customWidth="1"/>
    <col min="13" max="13" width="2.13333333333333" customWidth="1"/>
    <col min="14" max="14" width="2.83809523809524" customWidth="1"/>
    <col min="15" max="15" width="3.84761904761905" customWidth="1"/>
    <col min="16" max="16" width="3" customWidth="1"/>
    <col min="17" max="17" width="3.13333333333333" customWidth="1"/>
    <col min="18" max="18" width="3.83809523809524" customWidth="1"/>
    <col min="19" max="19" width="3.42857142857143" customWidth="1"/>
    <col min="20" max="33" width="2.71428571428571" customWidth="1"/>
    <col min="34" max="37" width="2.42857142857143" customWidth="1"/>
    <col min="38" max="38" width="1" customWidth="1"/>
    <col min="39" max="39" width="9.24761904761905" hidden="1" customWidth="1"/>
  </cols>
  <sheetData>
    <row r="1" s="551" customFormat="1" ht="35.25" customHeight="1" spans="1:39">
      <c r="A1" s="351"/>
      <c r="B1" s="552"/>
      <c r="C1" s="552"/>
      <c r="D1" s="552"/>
      <c r="E1" s="552"/>
      <c r="F1" s="552"/>
      <c r="G1" s="400" t="s">
        <v>204</v>
      </c>
      <c r="H1" s="400"/>
      <c r="I1" s="400"/>
      <c r="J1" s="400"/>
      <c r="K1" s="400"/>
      <c r="L1" s="400"/>
      <c r="M1" s="400"/>
      <c r="N1" s="400"/>
      <c r="O1" s="400"/>
      <c r="P1" s="400"/>
      <c r="Q1" s="555" t="s">
        <v>1</v>
      </c>
      <c r="R1" s="555"/>
      <c r="S1" s="555"/>
      <c r="T1" s="556" t="s">
        <v>2</v>
      </c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  <c r="AJ1" s="383"/>
      <c r="AK1" s="383"/>
      <c r="AL1" s="351"/>
      <c r="AM1" s="351"/>
    </row>
    <row r="2" s="551" customFormat="1" customHeight="1" spans="1:39">
      <c r="A2" s="351"/>
      <c r="B2" s="553"/>
      <c r="C2" s="553"/>
      <c r="D2" s="553"/>
      <c r="E2" s="553"/>
      <c r="F2" s="553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7"/>
      <c r="AI2" s="557"/>
      <c r="AJ2" s="557"/>
      <c r="AK2" s="557"/>
      <c r="AL2" s="351"/>
      <c r="AM2" s="351"/>
    </row>
    <row r="3" ht="17.25" customHeight="1" spans="1:39">
      <c r="A3" s="273"/>
      <c r="B3" s="340" t="s">
        <v>3</v>
      </c>
      <c r="C3" s="340"/>
      <c r="D3" s="341"/>
      <c r="E3" s="341"/>
      <c r="F3" s="340"/>
      <c r="G3" s="340"/>
      <c r="H3" s="340"/>
      <c r="I3" s="340"/>
      <c r="J3" s="340"/>
      <c r="K3" s="273"/>
      <c r="L3" s="273"/>
      <c r="M3" s="273"/>
      <c r="N3" s="273"/>
      <c r="O3" s="273" t="s">
        <v>4</v>
      </c>
      <c r="P3" s="340"/>
      <c r="Q3" s="340" t="s">
        <v>5</v>
      </c>
      <c r="R3" s="352"/>
      <c r="S3" s="273"/>
      <c r="T3" s="273"/>
      <c r="U3" s="273" t="s">
        <v>6</v>
      </c>
      <c r="V3" s="273"/>
      <c r="W3" s="273"/>
      <c r="X3" s="352"/>
      <c r="Y3" s="273"/>
      <c r="Z3" s="295" t="s">
        <v>7</v>
      </c>
      <c r="AA3" s="295"/>
      <c r="AB3" s="273"/>
      <c r="AC3" s="273"/>
      <c r="AD3" s="295"/>
      <c r="AE3" s="295"/>
      <c r="AF3" s="295"/>
      <c r="AG3" s="295"/>
      <c r="AH3" s="295"/>
      <c r="AI3" s="295"/>
      <c r="AJ3" s="295"/>
      <c r="AK3" s="295"/>
      <c r="AL3" s="273"/>
      <c r="AM3" s="273"/>
    </row>
    <row r="4" ht="30" customHeight="1" spans="1:39">
      <c r="A4" s="273"/>
      <c r="B4" s="273" t="s">
        <v>8</v>
      </c>
      <c r="C4" s="273"/>
      <c r="D4" s="273"/>
      <c r="E4" s="273"/>
      <c r="F4" s="273"/>
      <c r="G4" s="273"/>
      <c r="H4" s="295" t="s">
        <v>9</v>
      </c>
      <c r="I4" s="295"/>
      <c r="J4" s="295"/>
      <c r="K4" s="295"/>
      <c r="L4" s="295"/>
      <c r="M4" s="295"/>
      <c r="N4" s="295"/>
      <c r="O4" s="365"/>
      <c r="P4" s="365"/>
      <c r="Q4" s="365"/>
      <c r="R4" s="365"/>
      <c r="S4" s="365"/>
      <c r="T4" s="295"/>
      <c r="U4" s="295"/>
      <c r="V4" s="295"/>
      <c r="W4" s="295"/>
      <c r="X4" s="295"/>
      <c r="Y4" s="273" t="s">
        <v>10</v>
      </c>
      <c r="Z4" s="379"/>
      <c r="AA4" s="379"/>
      <c r="AB4" s="379"/>
      <c r="AC4" s="270"/>
      <c r="AD4" s="273"/>
      <c r="AE4" s="273"/>
      <c r="AF4" s="273"/>
      <c r="AG4" s="273"/>
      <c r="AH4" s="273"/>
      <c r="AI4" s="273"/>
      <c r="AJ4" s="273"/>
      <c r="AK4" s="273"/>
      <c r="AL4" s="273"/>
      <c r="AM4" s="273"/>
    </row>
    <row r="5" ht="3.75" customHeight="1" spans="1:39">
      <c r="A5" s="273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384"/>
      <c r="AL5" s="273"/>
      <c r="AM5" s="273"/>
    </row>
    <row r="6" ht="26.25" customHeight="1" spans="1:39">
      <c r="A6" s="335"/>
      <c r="B6" s="342" t="s">
        <v>11</v>
      </c>
      <c r="C6" s="343"/>
      <c r="D6" s="343"/>
      <c r="E6" s="343"/>
      <c r="F6" s="343"/>
      <c r="G6" s="343"/>
      <c r="H6" s="344" t="s">
        <v>12</v>
      </c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80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5"/>
      <c r="AL6" s="386"/>
      <c r="AM6" s="273"/>
    </row>
    <row r="7" ht="26.25" customHeight="1" spans="1:39">
      <c r="A7" s="335"/>
      <c r="B7" s="345"/>
      <c r="C7" s="346"/>
      <c r="D7" s="346"/>
      <c r="E7" s="347" t="str">
        <f>土方开挖评定表!L7</f>
        <v>2024HD10地块-@file_num田块</v>
      </c>
      <c r="F7" s="347"/>
      <c r="G7" s="347"/>
      <c r="H7" s="347"/>
      <c r="I7" s="347"/>
      <c r="J7" s="347"/>
      <c r="K7" s="347"/>
      <c r="L7" s="347"/>
      <c r="M7" s="376" t="s">
        <v>204</v>
      </c>
      <c r="N7" s="376"/>
      <c r="O7" s="376"/>
      <c r="P7" s="272" t="s">
        <v>13</v>
      </c>
      <c r="Q7" s="346" t="s">
        <v>1</v>
      </c>
      <c r="R7" s="346"/>
      <c r="S7" s="272" t="s">
        <v>14</v>
      </c>
      <c r="T7" s="365" t="s">
        <v>15</v>
      </c>
      <c r="U7" s="365"/>
      <c r="V7" s="365"/>
      <c r="W7" s="365"/>
      <c r="X7" s="365"/>
      <c r="Y7" s="365"/>
      <c r="Z7" s="365"/>
      <c r="AA7" s="365"/>
      <c r="AB7" s="365"/>
      <c r="AC7" s="365"/>
      <c r="AD7" s="365"/>
      <c r="AE7" s="365"/>
      <c r="AF7" s="365"/>
      <c r="AG7" s="365"/>
      <c r="AH7" s="365"/>
      <c r="AI7" s="387"/>
      <c r="AJ7" s="270"/>
      <c r="AK7" s="275"/>
      <c r="AL7" s="386"/>
      <c r="AM7" s="273"/>
    </row>
    <row r="8" ht="24.75" customHeight="1" spans="1:39">
      <c r="A8" s="335"/>
      <c r="B8" s="348"/>
      <c r="C8" s="349" t="s">
        <v>16</v>
      </c>
      <c r="D8" s="349"/>
      <c r="E8" s="349"/>
      <c r="F8" s="349"/>
      <c r="G8" s="349"/>
      <c r="H8" s="349"/>
      <c r="I8" s="366"/>
      <c r="J8" s="367"/>
      <c r="K8" s="367"/>
      <c r="L8" s="367"/>
      <c r="M8" s="367"/>
      <c r="N8" s="367"/>
      <c r="O8" s="368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88"/>
      <c r="AL8" s="386"/>
      <c r="AM8" s="273"/>
    </row>
    <row r="9" ht="33.75" customHeight="1" spans="1:39">
      <c r="A9" s="335"/>
      <c r="B9" s="348"/>
      <c r="C9" s="273"/>
      <c r="D9" s="273"/>
      <c r="E9" s="350" t="s">
        <v>17</v>
      </c>
      <c r="F9" s="349"/>
      <c r="G9" s="351" t="s">
        <v>18</v>
      </c>
      <c r="H9" s="352"/>
      <c r="I9" s="364"/>
      <c r="J9" s="364"/>
      <c r="K9" s="364"/>
      <c r="L9" s="364"/>
      <c r="M9" s="364"/>
      <c r="N9" s="364"/>
      <c r="O9" s="364"/>
      <c r="P9" s="364"/>
      <c r="Q9" s="376"/>
      <c r="R9" s="376"/>
      <c r="S9" s="376"/>
      <c r="T9" s="376"/>
      <c r="U9" s="376"/>
      <c r="V9" s="376"/>
      <c r="W9" s="376"/>
      <c r="X9" s="349" t="s">
        <v>19</v>
      </c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89"/>
      <c r="AL9" s="294"/>
      <c r="AM9" s="295">
        <v>0</v>
      </c>
    </row>
    <row r="10" ht="33.75" customHeight="1" spans="1:39">
      <c r="A10" s="335"/>
      <c r="B10" s="348"/>
      <c r="C10" s="273"/>
      <c r="D10" s="273"/>
      <c r="E10" s="352"/>
      <c r="F10" s="273"/>
      <c r="G10" s="351" t="s">
        <v>18</v>
      </c>
      <c r="H10" s="352"/>
      <c r="I10" s="285"/>
      <c r="J10" s="285"/>
      <c r="K10" s="285"/>
      <c r="L10" s="285"/>
      <c r="M10" s="285"/>
      <c r="N10" s="285"/>
      <c r="O10" s="285"/>
      <c r="P10" s="285"/>
      <c r="Q10" s="377"/>
      <c r="R10" s="377"/>
      <c r="S10" s="377"/>
      <c r="T10" s="377"/>
      <c r="U10" s="377"/>
      <c r="V10" s="377"/>
      <c r="W10" s="377"/>
      <c r="X10" s="349" t="s">
        <v>20</v>
      </c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89"/>
      <c r="AL10" s="386"/>
      <c r="AM10" s="295">
        <v>0</v>
      </c>
    </row>
    <row r="11" ht="33.75" customHeight="1" spans="1:39">
      <c r="A11" s="335"/>
      <c r="B11" s="348"/>
      <c r="C11" s="273"/>
      <c r="D11" s="273"/>
      <c r="E11" s="352"/>
      <c r="F11" s="273"/>
      <c r="G11" s="351" t="s">
        <v>18</v>
      </c>
      <c r="H11" s="352"/>
      <c r="I11" s="285" t="str">
        <f>G1</f>
        <v>土料填筑</v>
      </c>
      <c r="J11" s="285"/>
      <c r="K11" s="285"/>
      <c r="L11" s="285"/>
      <c r="M11" s="285"/>
      <c r="N11" s="285"/>
      <c r="O11" s="285"/>
      <c r="P11" s="285"/>
      <c r="Q11" s="377"/>
      <c r="R11" s="377"/>
      <c r="S11" s="377"/>
      <c r="T11" s="377"/>
      <c r="U11" s="377"/>
      <c r="V11" s="377"/>
      <c r="W11" s="377"/>
      <c r="X11" s="349" t="s">
        <v>21</v>
      </c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89"/>
      <c r="AL11" s="386"/>
      <c r="AM11" s="295">
        <v>1</v>
      </c>
    </row>
    <row r="12" ht="33.75" customHeight="1" spans="1:39">
      <c r="A12" s="335"/>
      <c r="B12" s="348"/>
      <c r="C12" s="273"/>
      <c r="D12" s="273"/>
      <c r="E12" s="352"/>
      <c r="F12" s="273"/>
      <c r="G12" s="351" t="s">
        <v>18</v>
      </c>
      <c r="H12" s="352"/>
      <c r="I12" s="285"/>
      <c r="J12" s="285"/>
      <c r="K12" s="285"/>
      <c r="L12" s="285"/>
      <c r="M12" s="285"/>
      <c r="N12" s="285"/>
      <c r="O12" s="285"/>
      <c r="P12" s="285"/>
      <c r="Q12" s="377"/>
      <c r="R12" s="377"/>
      <c r="S12" s="377"/>
      <c r="T12" s="377"/>
      <c r="U12" s="377"/>
      <c r="V12" s="377"/>
      <c r="W12" s="377"/>
      <c r="X12" s="349" t="s">
        <v>22</v>
      </c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89"/>
      <c r="AL12" s="386"/>
      <c r="AM12" s="295">
        <v>0</v>
      </c>
    </row>
    <row r="13" ht="17.25" customHeight="1" spans="1:39">
      <c r="A13" s="335"/>
      <c r="B13" s="353"/>
      <c r="C13" s="354"/>
      <c r="D13" s="354"/>
      <c r="E13" s="355"/>
      <c r="F13" s="354"/>
      <c r="G13" s="354"/>
      <c r="H13" s="355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90"/>
      <c r="AL13" s="386"/>
      <c r="AM13" s="273"/>
    </row>
    <row r="14" ht="17.25" customHeight="1" spans="1:39">
      <c r="A14" s="335"/>
      <c r="B14" s="353"/>
      <c r="C14" s="354"/>
      <c r="D14" s="354"/>
      <c r="E14" s="355"/>
      <c r="F14" s="354"/>
      <c r="G14" s="354"/>
      <c r="H14" s="355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90"/>
      <c r="AL14" s="386"/>
      <c r="AM14" s="273"/>
    </row>
    <row r="15" ht="17.25" customHeight="1" spans="1:39">
      <c r="A15" s="335"/>
      <c r="B15" s="353"/>
      <c r="C15" s="354"/>
      <c r="D15" s="354"/>
      <c r="E15" s="355"/>
      <c r="F15" s="354"/>
      <c r="G15" s="354"/>
      <c r="H15" s="355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90"/>
      <c r="AL15" s="386"/>
      <c r="AM15" s="273"/>
    </row>
    <row r="16" ht="17.25" customHeight="1" spans="1:39">
      <c r="A16" s="335"/>
      <c r="B16" s="353"/>
      <c r="C16" s="354"/>
      <c r="D16" s="354"/>
      <c r="E16" s="355"/>
      <c r="F16" s="354"/>
      <c r="G16" s="354"/>
      <c r="H16" s="355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90"/>
      <c r="AL16" s="386"/>
      <c r="AM16" s="273"/>
    </row>
    <row r="17" ht="33.75" customHeight="1" spans="1:39">
      <c r="A17" s="335"/>
      <c r="B17" s="356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370"/>
      <c r="P17" s="295" t="s">
        <v>23</v>
      </c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372"/>
      <c r="AG17" s="295"/>
      <c r="AH17" s="295"/>
      <c r="AI17" s="295"/>
      <c r="AJ17" s="295"/>
      <c r="AK17" s="391"/>
      <c r="AL17" s="386"/>
      <c r="AM17" s="273"/>
    </row>
    <row r="18" ht="24" customHeight="1" spans="1:39">
      <c r="A18" s="335"/>
      <c r="B18" s="356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370"/>
      <c r="P18" s="295" t="s">
        <v>24</v>
      </c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372"/>
      <c r="AG18" s="295"/>
      <c r="AH18" s="295"/>
      <c r="AI18" s="295"/>
      <c r="AJ18" s="295"/>
      <c r="AK18" s="391"/>
      <c r="AL18" s="386"/>
      <c r="AM18" s="273"/>
    </row>
    <row r="19" ht="24" customHeight="1" spans="1:39">
      <c r="A19" s="335"/>
      <c r="B19" s="357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71"/>
      <c r="P19" s="305" t="s">
        <v>25</v>
      </c>
      <c r="Q19" s="305"/>
      <c r="R19" s="305"/>
      <c r="S19" s="305"/>
      <c r="T19" s="378" t="s">
        <v>26</v>
      </c>
      <c r="U19" s="288"/>
      <c r="V19" s="288"/>
      <c r="W19" s="288"/>
      <c r="X19" s="288"/>
      <c r="Y19" s="333"/>
      <c r="Z19" s="333"/>
      <c r="AA19" s="333"/>
      <c r="AB19" s="288"/>
      <c r="AC19" s="288"/>
      <c r="AD19" s="288"/>
      <c r="AE19" s="288"/>
      <c r="AF19" s="288"/>
      <c r="AG19" s="288"/>
      <c r="AH19" s="288"/>
      <c r="AI19" s="288"/>
      <c r="AJ19" s="288"/>
      <c r="AK19" s="333"/>
      <c r="AL19" s="386"/>
      <c r="AM19" s="273"/>
    </row>
    <row r="20" ht="22.5" customHeight="1" spans="1:39">
      <c r="A20" s="335"/>
      <c r="B20" s="353" t="s">
        <v>27</v>
      </c>
      <c r="C20" s="358"/>
      <c r="D20" s="359"/>
      <c r="E20" s="358"/>
      <c r="F20" s="295" t="s">
        <v>28</v>
      </c>
      <c r="G20" s="295"/>
      <c r="H20" s="273"/>
      <c r="I20" s="273"/>
      <c r="J20" s="273"/>
      <c r="K20" s="273"/>
      <c r="L20" s="273"/>
      <c r="M20" s="273"/>
      <c r="N20" s="273"/>
      <c r="O20" s="352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0"/>
      <c r="AD20" s="290"/>
      <c r="AE20" s="290"/>
      <c r="AF20" s="290"/>
      <c r="AG20" s="290"/>
      <c r="AH20" s="290"/>
      <c r="AI20" s="290"/>
      <c r="AJ20" s="290"/>
      <c r="AK20" s="334"/>
      <c r="AL20" s="386"/>
      <c r="AM20" s="273"/>
    </row>
    <row r="21" ht="48" customHeight="1" spans="1:39">
      <c r="A21" s="335"/>
      <c r="B21" s="353"/>
      <c r="C21" s="358"/>
      <c r="D21" s="359"/>
      <c r="E21" s="358"/>
      <c r="F21" s="273"/>
      <c r="G21" s="273"/>
      <c r="H21" s="273"/>
      <c r="I21" s="273"/>
      <c r="J21" s="273"/>
      <c r="K21" s="273"/>
      <c r="L21" s="273"/>
      <c r="M21" s="273"/>
      <c r="N21" s="273"/>
      <c r="O21" s="352"/>
      <c r="P21" s="273"/>
      <c r="Q21" s="273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391"/>
      <c r="AL21" s="386"/>
      <c r="AM21" s="273"/>
    </row>
    <row r="22" ht="22.5" customHeight="1" spans="1:39">
      <c r="A22" s="335"/>
      <c r="B22" s="353"/>
      <c r="C22" s="358"/>
      <c r="D22" s="359"/>
      <c r="E22" s="358"/>
      <c r="F22" s="351"/>
      <c r="G22" s="351" t="s">
        <v>13</v>
      </c>
      <c r="H22" s="295" t="s">
        <v>29</v>
      </c>
      <c r="I22" s="295"/>
      <c r="J22" s="295"/>
      <c r="K22" s="295"/>
      <c r="L22" s="295"/>
      <c r="M22" s="295"/>
      <c r="N22" s="295"/>
      <c r="O22" s="370"/>
      <c r="P22" s="295"/>
      <c r="Q22" s="270"/>
      <c r="R22" s="270"/>
      <c r="S22" s="270"/>
      <c r="T22" s="270"/>
      <c r="U22" s="351" t="s">
        <v>13</v>
      </c>
      <c r="V22" s="295"/>
      <c r="W22" s="295" t="s">
        <v>30</v>
      </c>
      <c r="X22" s="295"/>
      <c r="Y22" s="295"/>
      <c r="Z22" s="295"/>
      <c r="AA22" s="295"/>
      <c r="AB22" s="295"/>
      <c r="AC22" s="295"/>
      <c r="AD22" s="370"/>
      <c r="AE22" s="295"/>
      <c r="AF22" s="295"/>
      <c r="AG22" s="295"/>
      <c r="AH22" s="295"/>
      <c r="AI22" s="295"/>
      <c r="AJ22" s="295"/>
      <c r="AK22" s="391"/>
      <c r="AL22" s="386"/>
      <c r="AM22" s="273"/>
    </row>
    <row r="23" ht="26.25" customHeight="1" spans="1:39">
      <c r="A23" s="335"/>
      <c r="B23" s="353"/>
      <c r="C23" s="358"/>
      <c r="D23" s="359"/>
      <c r="E23" s="358"/>
      <c r="F23" s="351"/>
      <c r="G23" s="351" t="s">
        <v>13</v>
      </c>
      <c r="H23" s="295" t="s">
        <v>31</v>
      </c>
      <c r="I23" s="295"/>
      <c r="J23" s="295"/>
      <c r="K23" s="295"/>
      <c r="L23" s="295"/>
      <c r="M23" s="295"/>
      <c r="N23" s="295"/>
      <c r="O23" s="370"/>
      <c r="P23" s="295"/>
      <c r="Q23" s="270"/>
      <c r="R23" s="270"/>
      <c r="S23" s="270"/>
      <c r="T23" s="270"/>
      <c r="U23" s="351" t="s">
        <v>13</v>
      </c>
      <c r="V23" s="295"/>
      <c r="W23" s="295" t="s">
        <v>32</v>
      </c>
      <c r="X23" s="295"/>
      <c r="Y23" s="295"/>
      <c r="Z23" s="295"/>
      <c r="AA23" s="295"/>
      <c r="AB23" s="295"/>
      <c r="AC23" s="295"/>
      <c r="AD23" s="370"/>
      <c r="AE23" s="295"/>
      <c r="AF23" s="295"/>
      <c r="AG23" s="295"/>
      <c r="AH23" s="295"/>
      <c r="AI23" s="295"/>
      <c r="AJ23" s="295"/>
      <c r="AK23" s="391"/>
      <c r="AL23" s="386"/>
      <c r="AM23" s="273"/>
    </row>
    <row r="24" ht="25.5" customHeight="1" spans="1:39">
      <c r="A24" s="335"/>
      <c r="B24" s="353"/>
      <c r="C24" s="358"/>
      <c r="D24" s="359"/>
      <c r="E24" s="358"/>
      <c r="F24" s="295"/>
      <c r="G24" s="295"/>
      <c r="H24" s="295"/>
      <c r="I24" s="295"/>
      <c r="J24" s="295"/>
      <c r="K24" s="295"/>
      <c r="L24" s="295"/>
      <c r="M24" s="295"/>
      <c r="N24" s="295"/>
      <c r="O24" s="370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391"/>
      <c r="AL24" s="386"/>
      <c r="AM24" s="273"/>
    </row>
    <row r="25" ht="25.5" customHeight="1" spans="1:39">
      <c r="A25" s="335"/>
      <c r="B25" s="353"/>
      <c r="C25" s="358"/>
      <c r="D25" s="359"/>
      <c r="E25" s="358"/>
      <c r="F25" s="295" t="s">
        <v>33</v>
      </c>
      <c r="G25" s="295"/>
      <c r="H25" s="295"/>
      <c r="I25" s="295"/>
      <c r="J25" s="295"/>
      <c r="K25" s="295"/>
      <c r="L25" s="295"/>
      <c r="M25" s="295"/>
      <c r="N25" s="295"/>
      <c r="O25" s="370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391"/>
      <c r="AL25" s="386"/>
      <c r="AM25" s="273"/>
    </row>
    <row r="26" ht="23.25" customHeight="1" spans="1:39">
      <c r="A26" s="335"/>
      <c r="B26" s="353"/>
      <c r="C26" s="358"/>
      <c r="D26" s="359"/>
      <c r="E26" s="358"/>
      <c r="F26" s="295"/>
      <c r="G26" s="295"/>
      <c r="H26" s="295"/>
      <c r="I26" s="295"/>
      <c r="J26" s="295"/>
      <c r="K26" s="295"/>
      <c r="L26" s="295"/>
      <c r="M26" s="295"/>
      <c r="N26" s="295"/>
      <c r="O26" s="370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391"/>
      <c r="AL26" s="386"/>
      <c r="AM26" s="273"/>
    </row>
    <row r="27" ht="33.75" customHeight="1" spans="1:39">
      <c r="A27" s="335"/>
      <c r="B27" s="353"/>
      <c r="C27" s="358"/>
      <c r="D27" s="359"/>
      <c r="E27" s="358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372" t="s">
        <v>34</v>
      </c>
      <c r="Q27" s="372"/>
      <c r="R27" s="372"/>
      <c r="S27" s="372"/>
      <c r="T27" s="372"/>
      <c r="U27" s="372"/>
      <c r="V27" s="372"/>
      <c r="W27" s="372"/>
      <c r="X27" s="295"/>
      <c r="Y27" s="295"/>
      <c r="Z27" s="295"/>
      <c r="AA27" s="295"/>
      <c r="AB27" s="295"/>
      <c r="AC27" s="372"/>
      <c r="AD27" s="295"/>
      <c r="AE27" s="295"/>
      <c r="AF27" s="295"/>
      <c r="AG27" s="295"/>
      <c r="AH27" s="391"/>
      <c r="AI27" s="365"/>
      <c r="AJ27" s="365"/>
      <c r="AK27" s="392"/>
      <c r="AL27" s="386"/>
      <c r="AM27" s="273"/>
    </row>
    <row r="28" ht="24" customHeight="1" spans="1:39">
      <c r="A28" s="335"/>
      <c r="B28" s="353"/>
      <c r="C28" s="358"/>
      <c r="D28" s="359"/>
      <c r="E28" s="358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 t="s">
        <v>35</v>
      </c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372"/>
      <c r="AG28" s="295"/>
      <c r="AH28" s="295"/>
      <c r="AI28" s="295"/>
      <c r="AJ28" s="295"/>
      <c r="AK28" s="391"/>
      <c r="AL28" s="386"/>
      <c r="AM28" s="273"/>
    </row>
    <row r="29" ht="24" customHeight="1" spans="1:39">
      <c r="A29" s="335"/>
      <c r="B29" s="360"/>
      <c r="C29" s="318"/>
      <c r="D29" s="361"/>
      <c r="E29" s="318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 t="s">
        <v>25</v>
      </c>
      <c r="Q29" s="362"/>
      <c r="R29" s="362"/>
      <c r="S29" s="362"/>
      <c r="T29" s="308" t="s">
        <v>26</v>
      </c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88"/>
      <c r="AI29" s="288"/>
      <c r="AJ29" s="288"/>
      <c r="AK29" s="333"/>
      <c r="AL29" s="386"/>
      <c r="AM29" s="273"/>
    </row>
    <row r="30" ht="21.75" customHeight="1" spans="1:39">
      <c r="A30" s="273"/>
      <c r="B30" s="343" t="s">
        <v>36</v>
      </c>
      <c r="C30" s="343"/>
      <c r="D30" s="343"/>
      <c r="E30" s="343"/>
      <c r="F30" s="343"/>
      <c r="G30" s="343"/>
      <c r="H30" s="363"/>
      <c r="I30" s="363"/>
      <c r="J30" s="343" t="s">
        <v>37</v>
      </c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63"/>
      <c r="Z30" s="363"/>
      <c r="AA30" s="382" t="s">
        <v>38</v>
      </c>
      <c r="AB30" s="382"/>
      <c r="AC30" s="382"/>
      <c r="AD30" s="382"/>
      <c r="AE30" s="382"/>
      <c r="AF30" s="363"/>
      <c r="AG30" s="393"/>
      <c r="AH30" s="346" t="s">
        <v>39</v>
      </c>
      <c r="AI30" s="346"/>
      <c r="AJ30" s="270"/>
      <c r="AK30" s="270"/>
      <c r="AL30" s="273"/>
      <c r="AM30" s="273"/>
    </row>
    <row r="31" ht="7.5" customHeight="1" spans="1:39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402"/>
      <c r="AG31" s="402"/>
      <c r="AH31" s="273"/>
      <c r="AI31" s="273"/>
      <c r="AJ31" s="273"/>
      <c r="AK31" s="273"/>
      <c r="AL31" s="273"/>
      <c r="AM31" s="273"/>
    </row>
  </sheetData>
  <mergeCells count="86">
    <mergeCell ref="B1:F1"/>
    <mergeCell ref="G1:P1"/>
    <mergeCell ref="Q1:S1"/>
    <mergeCell ref="T1:AK1"/>
    <mergeCell ref="B2:AK2"/>
    <mergeCell ref="B3:N3"/>
    <mergeCell ref="O3:P3"/>
    <mergeCell ref="R3:T3"/>
    <mergeCell ref="U3:W3"/>
    <mergeCell ref="X3:Y3"/>
    <mergeCell ref="Z3:AA3"/>
    <mergeCell ref="AB3:AK3"/>
    <mergeCell ref="B4:G4"/>
    <mergeCell ref="H4:X4"/>
    <mergeCell ref="Y4:AC4"/>
    <mergeCell ref="AD4:AK4"/>
    <mergeCell ref="B5:AK5"/>
    <mergeCell ref="B6:G6"/>
    <mergeCell ref="H6:Y6"/>
    <mergeCell ref="Z6:AK6"/>
    <mergeCell ref="B7:D7"/>
    <mergeCell ref="E7:L7"/>
    <mergeCell ref="M7:O7"/>
    <mergeCell ref="Q7:R7"/>
    <mergeCell ref="T7:AK7"/>
    <mergeCell ref="C8:AK8"/>
    <mergeCell ref="B9:D9"/>
    <mergeCell ref="E9:F9"/>
    <mergeCell ref="G9:H9"/>
    <mergeCell ref="I9:W9"/>
    <mergeCell ref="X9:AK9"/>
    <mergeCell ref="B10:F10"/>
    <mergeCell ref="G10:H10"/>
    <mergeCell ref="I10:W10"/>
    <mergeCell ref="X10:AK10"/>
    <mergeCell ref="B11:F11"/>
    <mergeCell ref="G11:H11"/>
    <mergeCell ref="I11:W11"/>
    <mergeCell ref="X11:AK11"/>
    <mergeCell ref="B12:F12"/>
    <mergeCell ref="G12:H12"/>
    <mergeCell ref="I12:W12"/>
    <mergeCell ref="X12:AK12"/>
    <mergeCell ref="P17:Z17"/>
    <mergeCell ref="AA17:AK17"/>
    <mergeCell ref="P18:V18"/>
    <mergeCell ref="W18:AB18"/>
    <mergeCell ref="AC18:AK18"/>
    <mergeCell ref="P19:S19"/>
    <mergeCell ref="T19:AB19"/>
    <mergeCell ref="AC19:AK19"/>
    <mergeCell ref="F20:AK20"/>
    <mergeCell ref="F21:AK21"/>
    <mergeCell ref="H22:P22"/>
    <mergeCell ref="Q22:T22"/>
    <mergeCell ref="U22:V22"/>
    <mergeCell ref="W22:AK22"/>
    <mergeCell ref="H23:P23"/>
    <mergeCell ref="Q23:T23"/>
    <mergeCell ref="U23:V23"/>
    <mergeCell ref="W23:AK23"/>
    <mergeCell ref="F24:AK24"/>
    <mergeCell ref="F25:AK25"/>
    <mergeCell ref="F26:AK26"/>
    <mergeCell ref="P27:W27"/>
    <mergeCell ref="X27:AK27"/>
    <mergeCell ref="P28:V28"/>
    <mergeCell ref="W28:AB28"/>
    <mergeCell ref="AC28:AK28"/>
    <mergeCell ref="P29:S29"/>
    <mergeCell ref="T29:AB29"/>
    <mergeCell ref="AC29:AK29"/>
    <mergeCell ref="B30:G30"/>
    <mergeCell ref="H30:I30"/>
    <mergeCell ref="J30:X30"/>
    <mergeCell ref="Y30:Z30"/>
    <mergeCell ref="AA30:AE30"/>
    <mergeCell ref="AF30:AG30"/>
    <mergeCell ref="AH30:AI30"/>
    <mergeCell ref="A31:AL31"/>
    <mergeCell ref="A1:A30"/>
    <mergeCell ref="AL1:AL30"/>
    <mergeCell ref="B13:AK16"/>
    <mergeCell ref="B17:O19"/>
    <mergeCell ref="B20:E29"/>
    <mergeCell ref="F27:O29"/>
  </mergeCells>
  <pageMargins left="0.75" right="0.16" top="1" bottom="0.21" header="0.5" footer="0.5"/>
  <pageSetup paperSize="9" scale="94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4"/>
  <sheetViews>
    <sheetView view="pageBreakPreview" zoomScaleNormal="100" topLeftCell="A5" workbookViewId="0">
      <selection activeCell="BD16" sqref="BD16"/>
    </sheetView>
  </sheetViews>
  <sheetFormatPr defaultColWidth="9.24761904761905" defaultRowHeight="12"/>
  <cols>
    <col min="1" max="1" width="0.714285714285714" customWidth="1"/>
    <col min="2" max="5" width="1.71428571428571" customWidth="1"/>
    <col min="6" max="7" width="2.13333333333333" customWidth="1"/>
    <col min="8" max="13" width="2.28571428571429" customWidth="1"/>
    <col min="14" max="24" width="2.13333333333333" customWidth="1"/>
    <col min="25" max="25" width="2.56190476190476" customWidth="1"/>
    <col min="26" max="38" width="2.13333333333333" customWidth="1"/>
    <col min="39" max="48" width="2.28571428571429" customWidth="1"/>
    <col min="49" max="49" width="0.714285714285714" customWidth="1"/>
  </cols>
  <sheetData>
    <row r="1" ht="3.75" customHeight="1" spans="1:4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</row>
    <row r="2" ht="21" customHeight="1" spans="1:49">
      <c r="A2" s="273"/>
      <c r="B2" s="403"/>
      <c r="C2" s="404"/>
      <c r="D2" s="404"/>
      <c r="E2" s="404"/>
      <c r="F2" s="404"/>
      <c r="G2" s="404"/>
      <c r="H2" s="404"/>
      <c r="I2" s="404"/>
      <c r="J2" s="404"/>
      <c r="K2" s="534" t="s">
        <v>9</v>
      </c>
      <c r="L2" s="534"/>
      <c r="M2" s="534"/>
      <c r="N2" s="534"/>
      <c r="O2" s="534"/>
      <c r="P2" s="534"/>
      <c r="Q2" s="534"/>
      <c r="R2" s="534"/>
      <c r="S2" s="534"/>
      <c r="T2" s="534"/>
      <c r="U2" s="534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443" t="s">
        <v>93</v>
      </c>
      <c r="AJ2" s="444"/>
      <c r="AK2" s="444"/>
      <c r="AL2" s="445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273"/>
    </row>
    <row r="3" ht="24.75" customHeight="1" spans="1:49">
      <c r="A3" s="273"/>
      <c r="B3" s="403"/>
      <c r="C3" s="404"/>
      <c r="D3" s="404"/>
      <c r="E3" s="404"/>
      <c r="F3" s="404"/>
      <c r="G3" s="404"/>
      <c r="H3" s="404"/>
      <c r="I3" s="404"/>
      <c r="J3" s="535" t="s">
        <v>205</v>
      </c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403"/>
      <c r="AP3" s="403"/>
      <c r="AQ3" s="403"/>
      <c r="AR3" s="403"/>
      <c r="AS3" s="403"/>
      <c r="AT3" s="403"/>
      <c r="AU3" s="403"/>
      <c r="AV3" s="403"/>
      <c r="AW3" s="273"/>
    </row>
    <row r="4" ht="9.75" customHeight="1" spans="1:49">
      <c r="A4" s="273"/>
      <c r="B4" s="405"/>
      <c r="C4" s="405"/>
      <c r="D4" s="405"/>
      <c r="E4" s="405"/>
      <c r="F4" s="405"/>
      <c r="G4" s="405"/>
      <c r="H4" s="405"/>
      <c r="I4" s="405"/>
      <c r="J4" s="406"/>
      <c r="K4" s="406"/>
      <c r="L4" s="406"/>
      <c r="M4" s="406"/>
      <c r="N4" s="406"/>
      <c r="O4" s="406"/>
      <c r="P4" s="406"/>
      <c r="Q4" s="406"/>
      <c r="R4" s="419"/>
      <c r="S4" s="419"/>
      <c r="T4" s="419"/>
      <c r="U4" s="419"/>
      <c r="V4" s="419"/>
      <c r="W4" s="419"/>
      <c r="X4" s="419"/>
      <c r="Y4" s="419"/>
      <c r="Z4" s="419"/>
      <c r="AA4" s="419"/>
      <c r="AB4" s="419"/>
      <c r="AC4" s="419"/>
      <c r="AD4" s="419"/>
      <c r="AE4" s="419"/>
      <c r="AF4" s="419"/>
      <c r="AG4" s="419"/>
      <c r="AH4" s="419"/>
      <c r="AI4" s="419"/>
      <c r="AJ4" s="419"/>
      <c r="AK4" s="419"/>
      <c r="AL4" s="419"/>
      <c r="AM4" s="419"/>
      <c r="AN4" s="419"/>
      <c r="AO4" s="405"/>
      <c r="AP4" s="405"/>
      <c r="AQ4" s="405"/>
      <c r="AR4" s="405"/>
      <c r="AS4" s="405"/>
      <c r="AT4" s="405"/>
      <c r="AU4" s="405"/>
      <c r="AV4" s="405"/>
      <c r="AW4" s="273"/>
    </row>
    <row r="5" ht="36.75" customHeight="1" spans="1:49">
      <c r="A5" s="335"/>
      <c r="B5" s="276" t="s">
        <v>95</v>
      </c>
      <c r="C5" s="277"/>
      <c r="D5" s="277"/>
      <c r="E5" s="277"/>
      <c r="F5" s="277"/>
      <c r="G5" s="277"/>
      <c r="H5" s="277"/>
      <c r="I5" s="277"/>
      <c r="J5" s="277"/>
      <c r="K5" s="277"/>
      <c r="L5" s="277" t="s">
        <v>43</v>
      </c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 t="s">
        <v>96</v>
      </c>
      <c r="AA5" s="277"/>
      <c r="AB5" s="277"/>
      <c r="AC5" s="277"/>
      <c r="AD5" s="277"/>
      <c r="AE5" s="277"/>
      <c r="AF5" s="277"/>
      <c r="AG5" s="310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547"/>
      <c r="AW5" s="273"/>
    </row>
    <row r="6" ht="37.5" customHeight="1" spans="1:49">
      <c r="A6" s="335"/>
      <c r="B6" s="278" t="s">
        <v>97</v>
      </c>
      <c r="C6" s="279"/>
      <c r="D6" s="279"/>
      <c r="E6" s="279"/>
      <c r="F6" s="279"/>
      <c r="G6" s="279"/>
      <c r="H6" s="279"/>
      <c r="I6" s="279"/>
      <c r="J6" s="279"/>
      <c r="K6" s="279"/>
      <c r="L6" s="536" t="str">
        <f>土方开挖评定表!L6</f>
        <v>2024HD10地块土地平整</v>
      </c>
      <c r="M6" s="537"/>
      <c r="N6" s="537"/>
      <c r="O6" s="537"/>
      <c r="P6" s="537"/>
      <c r="Q6" s="537"/>
      <c r="R6" s="537"/>
      <c r="S6" s="537"/>
      <c r="T6" s="537"/>
      <c r="U6" s="537"/>
      <c r="V6" s="537"/>
      <c r="W6" s="537"/>
      <c r="X6" s="537"/>
      <c r="Y6" s="541"/>
      <c r="Z6" s="279" t="s">
        <v>98</v>
      </c>
      <c r="AA6" s="279"/>
      <c r="AB6" s="279"/>
      <c r="AC6" s="279"/>
      <c r="AD6" s="279"/>
      <c r="AE6" s="279"/>
      <c r="AF6" s="279" t="s">
        <v>99</v>
      </c>
      <c r="AG6" s="281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458"/>
      <c r="AW6" s="273"/>
    </row>
    <row r="7" ht="37.5" customHeight="1" spans="1:49">
      <c r="A7" s="273"/>
      <c r="B7" s="526" t="s">
        <v>100</v>
      </c>
      <c r="C7" s="526"/>
      <c r="D7" s="526"/>
      <c r="E7" s="526"/>
      <c r="F7" s="527"/>
      <c r="G7" s="527"/>
      <c r="H7" s="527"/>
      <c r="I7" s="527"/>
      <c r="J7" s="527"/>
      <c r="K7" s="538"/>
      <c r="L7" s="340" t="str">
        <f>土方开挖评定表!L7</f>
        <v>2024HD10地块-@file_num田块</v>
      </c>
      <c r="M7" s="340"/>
      <c r="N7" s="340"/>
      <c r="O7" s="340"/>
      <c r="P7" s="340"/>
      <c r="Q7" s="340"/>
      <c r="R7" s="340"/>
      <c r="S7" s="340"/>
      <c r="T7" s="340"/>
      <c r="U7" s="340"/>
      <c r="V7" s="295" t="s">
        <v>204</v>
      </c>
      <c r="W7" s="295"/>
      <c r="X7" s="305"/>
      <c r="Y7" s="542"/>
      <c r="Z7" s="279" t="s">
        <v>102</v>
      </c>
      <c r="AA7" s="279"/>
      <c r="AB7" s="279"/>
      <c r="AC7" s="279"/>
      <c r="AD7" s="279"/>
      <c r="AE7" s="279"/>
      <c r="AF7" s="478" t="s">
        <v>206</v>
      </c>
      <c r="AG7" s="544"/>
      <c r="AH7" s="544"/>
      <c r="AI7" s="544"/>
      <c r="AJ7" s="544"/>
      <c r="AK7" s="544"/>
      <c r="AL7" s="545"/>
      <c r="AM7" s="546"/>
      <c r="AN7" s="301" t="s">
        <v>104</v>
      </c>
      <c r="AO7" s="481" t="s">
        <v>207</v>
      </c>
      <c r="AP7" s="281"/>
      <c r="AQ7" s="279"/>
      <c r="AR7" s="279"/>
      <c r="AS7" s="279"/>
      <c r="AT7" s="279"/>
      <c r="AU7" s="279"/>
      <c r="AV7" s="458"/>
      <c r="AW7" s="273"/>
    </row>
    <row r="8" ht="39.75" customHeight="1" spans="1:49">
      <c r="A8" s="335"/>
      <c r="B8" s="278" t="s">
        <v>50</v>
      </c>
      <c r="C8" s="279"/>
      <c r="D8" s="279"/>
      <c r="E8" s="279"/>
      <c r="F8" s="528" t="s">
        <v>106</v>
      </c>
      <c r="G8" s="529"/>
      <c r="H8" s="529"/>
      <c r="I8" s="529"/>
      <c r="J8" s="529"/>
      <c r="K8" s="529"/>
      <c r="L8" s="529"/>
      <c r="M8" s="529"/>
      <c r="N8" s="529"/>
      <c r="O8" s="529"/>
      <c r="P8" s="529"/>
      <c r="Q8" s="529"/>
      <c r="R8" s="529"/>
      <c r="S8" s="529"/>
      <c r="T8" s="529"/>
      <c r="U8" s="529"/>
      <c r="V8" s="529"/>
      <c r="W8" s="539"/>
      <c r="X8" s="279" t="s">
        <v>107</v>
      </c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  <c r="AK8" s="279"/>
      <c r="AL8" s="279"/>
      <c r="AM8" s="279"/>
      <c r="AN8" s="279"/>
      <c r="AO8" s="279"/>
      <c r="AP8" s="279"/>
      <c r="AQ8" s="279"/>
      <c r="AR8" s="279"/>
      <c r="AS8" s="279"/>
      <c r="AT8" s="279"/>
      <c r="AU8" s="279"/>
      <c r="AV8" s="458"/>
      <c r="AW8" s="273"/>
    </row>
    <row r="9" ht="52.5" customHeight="1" spans="1:49">
      <c r="A9" s="335"/>
      <c r="B9" s="278">
        <v>1</v>
      </c>
      <c r="C9" s="279"/>
      <c r="D9" s="279"/>
      <c r="E9" s="279"/>
      <c r="F9" s="279" t="s">
        <v>208</v>
      </c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540" t="s">
        <v>83</v>
      </c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457"/>
      <c r="AW9" s="273"/>
    </row>
    <row r="10" ht="52.5" customHeight="1" spans="1:49">
      <c r="A10" s="335"/>
      <c r="B10" s="278">
        <v>2</v>
      </c>
      <c r="C10" s="279"/>
      <c r="D10" s="279"/>
      <c r="E10" s="279"/>
      <c r="F10" s="279" t="s">
        <v>209</v>
      </c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540" t="s">
        <v>83</v>
      </c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457"/>
      <c r="AW10" s="273"/>
    </row>
    <row r="11" ht="52.5" customHeight="1" spans="1:49">
      <c r="A11" s="335"/>
      <c r="B11" s="278">
        <v>3</v>
      </c>
      <c r="C11" s="279"/>
      <c r="D11" s="279"/>
      <c r="E11" s="279"/>
      <c r="F11" s="279" t="s">
        <v>210</v>
      </c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540" t="s">
        <v>83</v>
      </c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457"/>
      <c r="AW11" s="273"/>
    </row>
    <row r="12" ht="52.5" customHeight="1" spans="1:49">
      <c r="A12" s="335"/>
      <c r="B12" s="278">
        <v>4</v>
      </c>
      <c r="C12" s="279"/>
      <c r="D12" s="279"/>
      <c r="E12" s="279"/>
      <c r="F12" s="279" t="s">
        <v>211</v>
      </c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540" t="s">
        <v>83</v>
      </c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457"/>
      <c r="AW12" s="273"/>
    </row>
    <row r="13" ht="33.75" customHeight="1" spans="1:49">
      <c r="A13" s="335"/>
      <c r="B13" s="278" t="s">
        <v>110</v>
      </c>
      <c r="C13" s="279"/>
      <c r="D13" s="279"/>
      <c r="E13" s="279"/>
      <c r="F13" s="284" t="s">
        <v>111</v>
      </c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543">
        <v>0</v>
      </c>
      <c r="Z13" s="430"/>
      <c r="AA13" s="430"/>
      <c r="AB13" s="430"/>
      <c r="AC13" s="304" t="s">
        <v>112</v>
      </c>
      <c r="AD13" s="304"/>
      <c r="AE13" s="304"/>
      <c r="AF13" s="304"/>
      <c r="AG13" s="304"/>
      <c r="AH13" s="304"/>
      <c r="AI13" s="304"/>
      <c r="AJ13" s="304"/>
      <c r="AK13" s="304"/>
      <c r="AL13" s="304"/>
      <c r="AM13" s="430" t="s">
        <v>83</v>
      </c>
      <c r="AN13" s="430"/>
      <c r="AO13" s="430"/>
      <c r="AP13" s="430"/>
      <c r="AQ13" s="304" t="s">
        <v>113</v>
      </c>
      <c r="AR13" s="408"/>
      <c r="AS13" s="408"/>
      <c r="AT13" s="408"/>
      <c r="AU13" s="408"/>
      <c r="AV13" s="548"/>
      <c r="AW13" s="273"/>
    </row>
    <row r="14" ht="34.5" customHeight="1" spans="1:49">
      <c r="A14" s="335"/>
      <c r="B14" s="278"/>
      <c r="C14" s="279"/>
      <c r="D14" s="279"/>
      <c r="E14" s="279"/>
      <c r="F14" s="409" t="s">
        <v>114</v>
      </c>
      <c r="G14" s="410"/>
      <c r="H14" s="410"/>
      <c r="I14" s="410"/>
      <c r="J14" s="429" t="s">
        <v>212</v>
      </c>
      <c r="K14" s="429"/>
      <c r="L14" s="429"/>
      <c r="M14" s="429"/>
      <c r="N14" s="349" t="s">
        <v>115</v>
      </c>
      <c r="O14" s="437"/>
      <c r="P14" s="437"/>
      <c r="Q14" s="437"/>
      <c r="R14" s="437"/>
      <c r="S14" s="437"/>
      <c r="T14" s="437"/>
      <c r="U14" s="437"/>
      <c r="V14" s="437"/>
      <c r="W14" s="437"/>
      <c r="X14" s="437"/>
      <c r="Y14" s="449"/>
      <c r="Z14" s="449"/>
      <c r="AA14" s="449"/>
      <c r="AB14" s="449"/>
      <c r="AC14" s="437"/>
      <c r="AD14" s="437"/>
      <c r="AE14" s="437"/>
      <c r="AF14" s="437"/>
      <c r="AG14" s="437"/>
      <c r="AH14" s="437"/>
      <c r="AI14" s="437"/>
      <c r="AJ14" s="437"/>
      <c r="AK14" s="437"/>
      <c r="AL14" s="437"/>
      <c r="AM14" s="449"/>
      <c r="AN14" s="449"/>
      <c r="AO14" s="449"/>
      <c r="AP14" s="449"/>
      <c r="AQ14" s="437"/>
      <c r="AR14" s="437"/>
      <c r="AS14" s="437"/>
      <c r="AT14" s="437"/>
      <c r="AU14" s="437"/>
      <c r="AV14" s="466"/>
      <c r="AW14" s="273"/>
    </row>
    <row r="15" ht="34.5" customHeight="1" spans="1:49">
      <c r="A15" s="335"/>
      <c r="B15" s="278"/>
      <c r="C15" s="279"/>
      <c r="D15" s="279"/>
      <c r="E15" s="279"/>
      <c r="F15" s="409" t="s">
        <v>116</v>
      </c>
      <c r="G15" s="410"/>
      <c r="H15" s="410"/>
      <c r="I15" s="410"/>
      <c r="J15" s="408"/>
      <c r="K15" s="408"/>
      <c r="L15" s="408"/>
      <c r="M15" s="408"/>
      <c r="N15" s="410"/>
      <c r="O15" s="410"/>
      <c r="P15" s="410"/>
      <c r="Q15" s="452"/>
      <c r="R15" s="410"/>
      <c r="S15" s="429" t="s">
        <v>83</v>
      </c>
      <c r="T15" s="429"/>
      <c r="U15" s="429"/>
      <c r="V15" s="429"/>
      <c r="W15" s="429"/>
      <c r="X15" s="429"/>
      <c r="Y15" s="429"/>
      <c r="Z15" s="429"/>
      <c r="AA15" s="429"/>
      <c r="AB15" s="429"/>
      <c r="AC15" s="429"/>
      <c r="AD15" s="429"/>
      <c r="AE15" s="429"/>
      <c r="AF15" s="429"/>
      <c r="AG15" s="429"/>
      <c r="AH15" s="429"/>
      <c r="AI15" s="429"/>
      <c r="AJ15" s="349" t="s">
        <v>117</v>
      </c>
      <c r="AK15" s="437"/>
      <c r="AL15" s="437"/>
      <c r="AM15" s="437"/>
      <c r="AN15" s="437"/>
      <c r="AO15" s="437"/>
      <c r="AP15" s="437"/>
      <c r="AQ15" s="437"/>
      <c r="AR15" s="437"/>
      <c r="AS15" s="437"/>
      <c r="AT15" s="437"/>
      <c r="AU15" s="437"/>
      <c r="AV15" s="466"/>
      <c r="AW15" s="273"/>
    </row>
    <row r="16" ht="34.5" customHeight="1" spans="1:49">
      <c r="A16" s="335"/>
      <c r="B16" s="278"/>
      <c r="C16" s="279"/>
      <c r="D16" s="279"/>
      <c r="E16" s="279"/>
      <c r="F16" s="317"/>
      <c r="G16" s="411"/>
      <c r="H16" s="411"/>
      <c r="I16" s="411"/>
      <c r="J16" s="411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  <c r="AA16" s="411"/>
      <c r="AB16" s="411"/>
      <c r="AC16" s="411"/>
      <c r="AD16" s="411"/>
      <c r="AE16" s="411"/>
      <c r="AF16" s="411"/>
      <c r="AG16" s="411"/>
      <c r="AH16" s="411"/>
      <c r="AI16" s="411"/>
      <c r="AJ16" s="411"/>
      <c r="AK16" s="411"/>
      <c r="AL16" s="411"/>
      <c r="AM16" s="411"/>
      <c r="AN16" s="411"/>
      <c r="AO16" s="411"/>
      <c r="AP16" s="411"/>
      <c r="AQ16" s="411"/>
      <c r="AR16" s="411"/>
      <c r="AS16" s="411"/>
      <c r="AT16" s="411"/>
      <c r="AU16" s="411"/>
      <c r="AV16" s="467"/>
      <c r="AW16" s="273"/>
    </row>
    <row r="17" ht="34.5" customHeight="1" spans="1:49">
      <c r="A17" s="335"/>
      <c r="B17" s="278"/>
      <c r="C17" s="279"/>
      <c r="D17" s="279"/>
      <c r="E17" s="279"/>
      <c r="F17" s="412" t="s">
        <v>118</v>
      </c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438"/>
      <c r="W17" s="438"/>
      <c r="X17" s="438"/>
      <c r="Y17" s="438"/>
      <c r="Z17" s="438"/>
      <c r="AA17" s="438"/>
      <c r="AB17" s="438"/>
      <c r="AC17" s="438"/>
      <c r="AD17" s="438"/>
      <c r="AE17" s="438"/>
      <c r="AF17" s="438"/>
      <c r="AG17" s="438"/>
      <c r="AH17" s="438"/>
      <c r="AI17" s="438"/>
      <c r="AJ17" s="438"/>
      <c r="AK17" s="438"/>
      <c r="AL17" s="438"/>
      <c r="AM17" s="438"/>
      <c r="AN17" s="450" t="s">
        <v>26</v>
      </c>
      <c r="AO17" s="438"/>
      <c r="AP17" s="438"/>
      <c r="AQ17" s="438"/>
      <c r="AR17" s="438"/>
      <c r="AS17" s="438"/>
      <c r="AT17" s="438"/>
      <c r="AU17" s="438"/>
      <c r="AV17" s="468"/>
      <c r="AW17" s="273"/>
    </row>
    <row r="18" ht="34.5" customHeight="1" spans="1:49">
      <c r="A18" s="335"/>
      <c r="B18" s="278" t="s">
        <v>119</v>
      </c>
      <c r="C18" s="279"/>
      <c r="D18" s="279"/>
      <c r="E18" s="279"/>
      <c r="F18" s="409" t="s">
        <v>120</v>
      </c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  <c r="AH18" s="346"/>
      <c r="AI18" s="346"/>
      <c r="AJ18" s="346"/>
      <c r="AK18" s="346"/>
      <c r="AL18" s="346"/>
      <c r="AM18" s="346"/>
      <c r="AN18" s="346"/>
      <c r="AO18" s="549"/>
      <c r="AP18" s="453"/>
      <c r="AQ18" s="429"/>
      <c r="AR18" s="429"/>
      <c r="AS18" s="429"/>
      <c r="AT18" s="346" t="s">
        <v>121</v>
      </c>
      <c r="AU18" s="410"/>
      <c r="AV18" s="469"/>
      <c r="AW18" s="273"/>
    </row>
    <row r="19" ht="34.5" customHeight="1" spans="1:49">
      <c r="A19" s="335"/>
      <c r="B19" s="278"/>
      <c r="C19" s="279"/>
      <c r="D19" s="279"/>
      <c r="E19" s="279"/>
      <c r="F19" s="409" t="s">
        <v>122</v>
      </c>
      <c r="G19" s="410"/>
      <c r="H19" s="410"/>
      <c r="I19" s="410"/>
      <c r="J19" s="410"/>
      <c r="K19" s="410"/>
      <c r="L19" s="410"/>
      <c r="M19" s="429"/>
      <c r="N19" s="429"/>
      <c r="O19" s="429"/>
      <c r="P19" s="429"/>
      <c r="Q19" s="346" t="s">
        <v>123</v>
      </c>
      <c r="R19" s="410"/>
      <c r="S19" s="410"/>
      <c r="T19" s="410"/>
      <c r="U19" s="410"/>
      <c r="V19" s="410"/>
      <c r="W19" s="410"/>
      <c r="X19" s="410"/>
      <c r="Y19" s="410"/>
      <c r="Z19" s="429"/>
      <c r="AA19" s="429"/>
      <c r="AB19" s="429"/>
      <c r="AC19" s="429"/>
      <c r="AD19" s="349" t="s">
        <v>115</v>
      </c>
      <c r="AE19" s="437"/>
      <c r="AF19" s="437"/>
      <c r="AG19" s="437"/>
      <c r="AH19" s="437"/>
      <c r="AI19" s="437"/>
      <c r="AJ19" s="437"/>
      <c r="AK19" s="437"/>
      <c r="AL19" s="437"/>
      <c r="AM19" s="437"/>
      <c r="AN19" s="437"/>
      <c r="AO19" s="437"/>
      <c r="AP19" s="449"/>
      <c r="AQ19" s="449"/>
      <c r="AR19" s="449"/>
      <c r="AS19" s="437"/>
      <c r="AT19" s="437"/>
      <c r="AU19" s="437"/>
      <c r="AV19" s="466"/>
      <c r="AW19" s="273"/>
    </row>
    <row r="20" ht="33.75" customHeight="1" spans="1:49">
      <c r="A20" s="335"/>
      <c r="B20" s="278"/>
      <c r="C20" s="279"/>
      <c r="D20" s="279"/>
      <c r="E20" s="279"/>
      <c r="F20" s="409" t="s">
        <v>116</v>
      </c>
      <c r="G20" s="346"/>
      <c r="H20" s="346"/>
      <c r="I20" s="346"/>
      <c r="J20" s="346"/>
      <c r="K20" s="346"/>
      <c r="L20" s="346"/>
      <c r="M20" s="304"/>
      <c r="N20" s="304"/>
      <c r="O20" s="304"/>
      <c r="P20" s="304"/>
      <c r="Q20" s="346"/>
      <c r="R20" s="346"/>
      <c r="S20" s="429"/>
      <c r="T20" s="429"/>
      <c r="U20" s="429"/>
      <c r="V20" s="429"/>
      <c r="W20" s="429"/>
      <c r="X20" s="429"/>
      <c r="Y20" s="429"/>
      <c r="Z20" s="430"/>
      <c r="AA20" s="430"/>
      <c r="AB20" s="430"/>
      <c r="AC20" s="430"/>
      <c r="AD20" s="429"/>
      <c r="AE20" s="429"/>
      <c r="AF20" s="429"/>
      <c r="AG20" s="429"/>
      <c r="AH20" s="429"/>
      <c r="AI20" s="429"/>
      <c r="AJ20" s="429"/>
      <c r="AK20" s="429"/>
      <c r="AL20" s="349" t="s">
        <v>117</v>
      </c>
      <c r="AM20" s="410"/>
      <c r="AN20" s="410"/>
      <c r="AO20" s="410"/>
      <c r="AP20" s="410"/>
      <c r="AQ20" s="410"/>
      <c r="AR20" s="410"/>
      <c r="AS20" s="410"/>
      <c r="AT20" s="410"/>
      <c r="AU20" s="410"/>
      <c r="AV20" s="469"/>
      <c r="AW20" s="273"/>
    </row>
    <row r="21" ht="33.75" customHeight="1" spans="1:49">
      <c r="A21" s="335"/>
      <c r="B21" s="278"/>
      <c r="C21" s="279"/>
      <c r="D21" s="279"/>
      <c r="E21" s="279"/>
      <c r="F21" s="317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  <c r="AA21" s="411"/>
      <c r="AB21" s="411"/>
      <c r="AC21" s="411"/>
      <c r="AD21" s="411"/>
      <c r="AE21" s="411"/>
      <c r="AF21" s="411"/>
      <c r="AG21" s="411"/>
      <c r="AH21" s="411"/>
      <c r="AI21" s="411"/>
      <c r="AJ21" s="411"/>
      <c r="AK21" s="411"/>
      <c r="AL21" s="411"/>
      <c r="AM21" s="411"/>
      <c r="AN21" s="411"/>
      <c r="AO21" s="411"/>
      <c r="AP21" s="411"/>
      <c r="AQ21" s="411"/>
      <c r="AR21" s="411"/>
      <c r="AS21" s="411"/>
      <c r="AT21" s="411"/>
      <c r="AU21" s="411"/>
      <c r="AV21" s="467"/>
      <c r="AW21" s="273"/>
    </row>
    <row r="22" ht="34.5" customHeight="1" spans="1:49">
      <c r="A22" s="335"/>
      <c r="B22" s="278"/>
      <c r="C22" s="279"/>
      <c r="D22" s="279"/>
      <c r="E22" s="279"/>
      <c r="F22" s="412" t="s">
        <v>118</v>
      </c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438"/>
      <c r="W22" s="438"/>
      <c r="X22" s="438"/>
      <c r="Y22" s="438"/>
      <c r="Z22" s="438"/>
      <c r="AA22" s="438"/>
      <c r="AB22" s="438"/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50" t="s">
        <v>26</v>
      </c>
      <c r="AO22" s="438"/>
      <c r="AP22" s="438"/>
      <c r="AQ22" s="438"/>
      <c r="AR22" s="438"/>
      <c r="AS22" s="438"/>
      <c r="AT22" s="438"/>
      <c r="AU22" s="438"/>
      <c r="AV22" s="468"/>
      <c r="AW22" s="273"/>
    </row>
    <row r="23" ht="18.75" customHeight="1" spans="1:49">
      <c r="A23" s="335"/>
      <c r="B23" s="530" t="s">
        <v>124</v>
      </c>
      <c r="C23" s="531"/>
      <c r="D23" s="531"/>
      <c r="E23" s="531"/>
      <c r="F23" s="531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532"/>
      <c r="Y23" s="532"/>
      <c r="Z23" s="532"/>
      <c r="AA23" s="532"/>
      <c r="AB23" s="532"/>
      <c r="AC23" s="532"/>
      <c r="AD23" s="532"/>
      <c r="AE23" s="532"/>
      <c r="AF23" s="532"/>
      <c r="AG23" s="532"/>
      <c r="AH23" s="532"/>
      <c r="AI23" s="532"/>
      <c r="AJ23" s="532"/>
      <c r="AK23" s="532"/>
      <c r="AL23" s="532"/>
      <c r="AM23" s="532"/>
      <c r="AN23" s="532"/>
      <c r="AO23" s="532"/>
      <c r="AP23" s="532"/>
      <c r="AQ23" s="532"/>
      <c r="AR23" s="532"/>
      <c r="AS23" s="532"/>
      <c r="AT23" s="532"/>
      <c r="AU23" s="532"/>
      <c r="AV23" s="550"/>
      <c r="AW23" s="273"/>
    </row>
    <row r="24" ht="3.75" customHeight="1" spans="1:49">
      <c r="A24" s="273"/>
      <c r="B24" s="273"/>
      <c r="C24" s="533"/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533"/>
      <c r="AD24" s="533"/>
      <c r="AE24" s="533"/>
      <c r="AF24" s="533"/>
      <c r="AG24" s="533"/>
      <c r="AH24" s="533"/>
      <c r="AI24" s="533"/>
      <c r="AJ24" s="533"/>
      <c r="AK24" s="533"/>
      <c r="AL24" s="533"/>
      <c r="AM24" s="533"/>
      <c r="AN24" s="533"/>
      <c r="AO24" s="533"/>
      <c r="AP24" s="533"/>
      <c r="AQ24" s="533"/>
      <c r="AR24" s="533"/>
      <c r="AS24" s="533"/>
      <c r="AT24" s="533"/>
      <c r="AU24" s="533"/>
      <c r="AV24" s="533"/>
      <c r="AW24" s="273"/>
    </row>
  </sheetData>
  <mergeCells count="73">
    <mergeCell ref="B1:AV1"/>
    <mergeCell ref="B2:J2"/>
    <mergeCell ref="K2:AH2"/>
    <mergeCell ref="AI2:AV2"/>
    <mergeCell ref="B3:I3"/>
    <mergeCell ref="J3:AO3"/>
    <mergeCell ref="AP3:AV3"/>
    <mergeCell ref="B4:AV4"/>
    <mergeCell ref="B5:K5"/>
    <mergeCell ref="L5:Y5"/>
    <mergeCell ref="Z5:AE5"/>
    <mergeCell ref="AF5:AV5"/>
    <mergeCell ref="B6:K6"/>
    <mergeCell ref="L6:Y6"/>
    <mergeCell ref="Z6:AE6"/>
    <mergeCell ref="AF6:AV6"/>
    <mergeCell ref="B7:K7"/>
    <mergeCell ref="L7:U7"/>
    <mergeCell ref="V7:Y7"/>
    <mergeCell ref="Z7:AE7"/>
    <mergeCell ref="AF7:AM7"/>
    <mergeCell ref="AO7:AV7"/>
    <mergeCell ref="B8:E8"/>
    <mergeCell ref="F8:W8"/>
    <mergeCell ref="X8:AV8"/>
    <mergeCell ref="B9:E9"/>
    <mergeCell ref="F9:W9"/>
    <mergeCell ref="X9:AV9"/>
    <mergeCell ref="B10:E10"/>
    <mergeCell ref="F10:W10"/>
    <mergeCell ref="X10:AV10"/>
    <mergeCell ref="B11:E11"/>
    <mergeCell ref="F11:W11"/>
    <mergeCell ref="X11:AV11"/>
    <mergeCell ref="B12:E12"/>
    <mergeCell ref="F12:W12"/>
    <mergeCell ref="X12:AV12"/>
    <mergeCell ref="F13:X13"/>
    <mergeCell ref="Y13:AB13"/>
    <mergeCell ref="AC13:AL13"/>
    <mergeCell ref="AM13:AP13"/>
    <mergeCell ref="AQ13:AV13"/>
    <mergeCell ref="F14:I14"/>
    <mergeCell ref="J14:M14"/>
    <mergeCell ref="N14:AV14"/>
    <mergeCell ref="F15:R15"/>
    <mergeCell ref="S15:AI15"/>
    <mergeCell ref="AJ15:AV15"/>
    <mergeCell ref="F16:AV16"/>
    <mergeCell ref="F17:AE17"/>
    <mergeCell ref="AF17:AM17"/>
    <mergeCell ref="AN17:AV17"/>
    <mergeCell ref="F18:AO18"/>
    <mergeCell ref="AP18:AS18"/>
    <mergeCell ref="AT18:AV18"/>
    <mergeCell ref="F19:L19"/>
    <mergeCell ref="M19:P19"/>
    <mergeCell ref="Q19:Y19"/>
    <mergeCell ref="Z19:AC19"/>
    <mergeCell ref="AD19:AV19"/>
    <mergeCell ref="F20:R20"/>
    <mergeCell ref="S20:AK20"/>
    <mergeCell ref="AL20:AV20"/>
    <mergeCell ref="F21:AV21"/>
    <mergeCell ref="F22:AE22"/>
    <mergeCell ref="AF22:AM22"/>
    <mergeCell ref="AN22:AV22"/>
    <mergeCell ref="B23:AV23"/>
    <mergeCell ref="B24:AV24"/>
    <mergeCell ref="A1:A24"/>
    <mergeCell ref="AW1:AW24"/>
    <mergeCell ref="B13:E17"/>
    <mergeCell ref="B18:E22"/>
  </mergeCells>
  <pageMargins left="0.75" right="0" top="1" bottom="0" header="0.5" footer="0.5"/>
  <pageSetup paperSize="9" scale="91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8"/>
  <sheetViews>
    <sheetView topLeftCell="A9" workbookViewId="0">
      <selection activeCell="V7" sqref="V7:AO8"/>
    </sheetView>
  </sheetViews>
  <sheetFormatPr defaultColWidth="9.14285714285714" defaultRowHeight="12"/>
  <cols>
    <col min="1" max="1" width="0.704761904761905" customWidth="1"/>
    <col min="2" max="5" width="1.71428571428571" customWidth="1"/>
    <col min="6" max="47" width="2.14285714285714" customWidth="1"/>
  </cols>
  <sheetData>
    <row r="1" ht="45" customHeight="1" spans="1:47">
      <c r="A1" s="403"/>
      <c r="B1" s="404"/>
      <c r="C1" s="404"/>
      <c r="D1" s="404"/>
      <c r="E1" s="404"/>
      <c r="F1" s="404"/>
      <c r="G1" s="404"/>
      <c r="H1" s="404"/>
      <c r="I1" s="404"/>
      <c r="J1" s="418" t="s">
        <v>213</v>
      </c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43" t="s">
        <v>93</v>
      </c>
      <c r="AI1" s="444"/>
      <c r="AJ1" s="444"/>
      <c r="AK1" s="445"/>
      <c r="AL1" s="446"/>
      <c r="AM1" s="446"/>
      <c r="AN1" s="446"/>
      <c r="AO1" s="446"/>
      <c r="AP1" s="446"/>
      <c r="AQ1" s="446"/>
      <c r="AR1" s="446"/>
      <c r="AS1" s="446"/>
      <c r="AT1" s="446"/>
      <c r="AU1" s="446"/>
    </row>
    <row r="2" ht="32" customHeight="1" spans="1:47">
      <c r="A2" s="405" t="s">
        <v>214</v>
      </c>
      <c r="B2" s="406"/>
      <c r="C2" s="406"/>
      <c r="D2" s="406"/>
      <c r="E2" s="406"/>
      <c r="F2" s="406"/>
      <c r="G2" s="406"/>
      <c r="H2" s="406"/>
      <c r="I2" s="419" t="s">
        <v>215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05"/>
      <c r="AO2" s="522" t="s">
        <v>216</v>
      </c>
      <c r="AP2" s="522"/>
      <c r="AQ2" s="522"/>
      <c r="AR2" s="522"/>
      <c r="AS2" s="522"/>
      <c r="AT2" s="522"/>
      <c r="AU2" s="522"/>
    </row>
    <row r="3" ht="27" customHeight="1" spans="1:47">
      <c r="A3" s="276" t="s">
        <v>95</v>
      </c>
      <c r="B3" s="277"/>
      <c r="C3" s="277"/>
      <c r="D3" s="277"/>
      <c r="E3" s="277"/>
      <c r="F3" s="277"/>
      <c r="G3" s="277"/>
      <c r="H3" s="277"/>
      <c r="I3" s="277"/>
      <c r="J3" s="277"/>
      <c r="K3" s="519" t="s">
        <v>127</v>
      </c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277" t="s">
        <v>128</v>
      </c>
      <c r="AA3" s="277"/>
      <c r="AB3" s="277"/>
      <c r="AC3" s="277"/>
      <c r="AD3" s="277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56"/>
    </row>
    <row r="4" ht="28" customHeight="1" spans="1:47">
      <c r="A4" s="278" t="s">
        <v>97</v>
      </c>
      <c r="B4" s="279"/>
      <c r="C4" s="279"/>
      <c r="D4" s="279"/>
      <c r="E4" s="279"/>
      <c r="F4" s="279"/>
      <c r="G4" s="279"/>
      <c r="H4" s="279"/>
      <c r="I4" s="279"/>
      <c r="J4" s="279"/>
      <c r="K4" s="436" t="s">
        <v>217</v>
      </c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279" t="s">
        <v>98</v>
      </c>
      <c r="AA4" s="279"/>
      <c r="AB4" s="279"/>
      <c r="AC4" s="279"/>
      <c r="AD4" s="279"/>
      <c r="AE4" s="312" t="s">
        <v>99</v>
      </c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457"/>
    </row>
    <row r="5" ht="32" customHeight="1" spans="1:47">
      <c r="A5" s="278" t="s">
        <v>100</v>
      </c>
      <c r="B5" s="279"/>
      <c r="C5" s="279"/>
      <c r="D5" s="279"/>
      <c r="E5" s="279"/>
      <c r="F5" s="279"/>
      <c r="G5" s="279"/>
      <c r="H5" s="279"/>
      <c r="I5" s="279"/>
      <c r="J5" s="279"/>
      <c r="K5" s="520" t="s">
        <v>218</v>
      </c>
      <c r="L5" s="434"/>
      <c r="M5" s="434"/>
      <c r="N5" s="434"/>
      <c r="O5" s="434"/>
      <c r="P5" s="434"/>
      <c r="Q5" s="434"/>
      <c r="R5" s="434"/>
      <c r="S5" s="435"/>
      <c r="T5" s="436"/>
      <c r="U5" s="436"/>
      <c r="V5" s="436"/>
      <c r="W5" s="436"/>
      <c r="X5" s="436"/>
      <c r="Y5" s="436"/>
      <c r="Z5" s="279" t="s">
        <v>102</v>
      </c>
      <c r="AA5" s="279"/>
      <c r="AB5" s="279"/>
      <c r="AC5" s="279"/>
      <c r="AD5" s="279"/>
      <c r="AE5" s="441" t="s">
        <v>26</v>
      </c>
      <c r="AF5" s="312"/>
      <c r="AG5" s="312"/>
      <c r="AH5" s="312"/>
      <c r="AI5" s="312"/>
      <c r="AJ5" s="312"/>
      <c r="AK5" s="312"/>
      <c r="AL5" s="321"/>
      <c r="AM5" s="301" t="s">
        <v>104</v>
      </c>
      <c r="AN5" s="447" t="s">
        <v>26</v>
      </c>
      <c r="AO5" s="432"/>
      <c r="AP5" s="312"/>
      <c r="AQ5" s="312"/>
      <c r="AR5" s="312"/>
      <c r="AS5" s="312"/>
      <c r="AT5" s="312"/>
      <c r="AU5" s="457"/>
    </row>
    <row r="6" ht="37" customHeight="1" spans="1:47">
      <c r="A6" s="278" t="s">
        <v>50</v>
      </c>
      <c r="B6" s="279"/>
      <c r="C6" s="279"/>
      <c r="D6" s="279"/>
      <c r="E6" s="279" t="s">
        <v>133</v>
      </c>
      <c r="F6" s="279"/>
      <c r="G6" s="279"/>
      <c r="H6" s="279"/>
      <c r="I6" s="279"/>
      <c r="J6" s="279"/>
      <c r="K6" s="279" t="s">
        <v>134</v>
      </c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279" t="s">
        <v>135</v>
      </c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279" t="s">
        <v>136</v>
      </c>
      <c r="AQ6" s="279"/>
      <c r="AR6" s="279"/>
      <c r="AS6" s="279" t="s">
        <v>137</v>
      </c>
      <c r="AT6" s="279"/>
      <c r="AU6" s="458"/>
    </row>
    <row r="7" ht="28" customHeight="1" spans="1:47">
      <c r="A7" s="278" t="s">
        <v>219</v>
      </c>
      <c r="B7" s="279"/>
      <c r="C7" s="279">
        <v>1</v>
      </c>
      <c r="D7" s="279"/>
      <c r="E7" s="279" t="s">
        <v>220</v>
      </c>
      <c r="F7" s="279"/>
      <c r="G7" s="397" t="s">
        <v>221</v>
      </c>
      <c r="H7" s="407"/>
      <c r="I7" s="407"/>
      <c r="J7" s="407"/>
      <c r="K7" s="293" t="s">
        <v>222</v>
      </c>
      <c r="L7" s="473"/>
      <c r="M7" s="473"/>
      <c r="N7" s="473"/>
      <c r="O7" s="473"/>
      <c r="P7" s="473"/>
      <c r="Q7" s="473"/>
      <c r="R7" s="473"/>
      <c r="S7" s="473"/>
      <c r="T7" s="473"/>
      <c r="U7" s="473"/>
      <c r="V7" s="312" t="s">
        <v>223</v>
      </c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>
        <v>20</v>
      </c>
      <c r="AQ7" s="312"/>
      <c r="AR7" s="312"/>
      <c r="AS7" s="523">
        <v>1</v>
      </c>
      <c r="AT7" s="523"/>
      <c r="AU7" s="524"/>
    </row>
    <row r="8" ht="28" customHeight="1" spans="1:47">
      <c r="A8" s="278"/>
      <c r="B8" s="279"/>
      <c r="C8" s="279"/>
      <c r="D8" s="279"/>
      <c r="E8" s="279"/>
      <c r="F8" s="279"/>
      <c r="G8" s="407"/>
      <c r="H8" s="407"/>
      <c r="I8" s="407"/>
      <c r="J8" s="407"/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523"/>
      <c r="AT8" s="523"/>
      <c r="AU8" s="524"/>
    </row>
    <row r="9" ht="30" customHeight="1" spans="1:47">
      <c r="A9" s="278"/>
      <c r="B9" s="279"/>
      <c r="C9" s="279"/>
      <c r="D9" s="279"/>
      <c r="E9" s="279"/>
      <c r="F9" s="279"/>
      <c r="G9" s="397" t="s">
        <v>224</v>
      </c>
      <c r="H9" s="407"/>
      <c r="I9" s="407"/>
      <c r="J9" s="407"/>
      <c r="K9" s="293" t="s">
        <v>225</v>
      </c>
      <c r="L9" s="473"/>
      <c r="M9" s="473"/>
      <c r="N9" s="473"/>
      <c r="O9" s="473"/>
      <c r="P9" s="473"/>
      <c r="Q9" s="473"/>
      <c r="R9" s="473"/>
      <c r="S9" s="473"/>
      <c r="T9" s="473"/>
      <c r="U9" s="473"/>
      <c r="V9" s="312" t="s">
        <v>129</v>
      </c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 t="s">
        <v>129</v>
      </c>
      <c r="AQ9" s="312"/>
      <c r="AR9" s="312"/>
      <c r="AS9" s="523">
        <v>1</v>
      </c>
      <c r="AT9" s="523"/>
      <c r="AU9" s="524"/>
    </row>
    <row r="10" ht="30" customHeight="1" spans="1:47">
      <c r="A10" s="278"/>
      <c r="B10" s="279"/>
      <c r="C10" s="279"/>
      <c r="D10" s="279"/>
      <c r="E10" s="279"/>
      <c r="F10" s="279"/>
      <c r="G10" s="407"/>
      <c r="H10" s="407"/>
      <c r="I10" s="407"/>
      <c r="J10" s="407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523"/>
      <c r="AT10" s="523"/>
      <c r="AU10" s="524"/>
    </row>
    <row r="11" ht="51" customHeight="1" spans="1:47">
      <c r="A11" s="278"/>
      <c r="B11" s="279"/>
      <c r="C11" s="279">
        <v>2</v>
      </c>
      <c r="D11" s="279"/>
      <c r="E11" s="397" t="s">
        <v>226</v>
      </c>
      <c r="F11" s="407"/>
      <c r="G11" s="407"/>
      <c r="H11" s="407"/>
      <c r="I11" s="407"/>
      <c r="J11" s="407"/>
      <c r="K11" s="397" t="s">
        <v>227</v>
      </c>
      <c r="L11" s="407"/>
      <c r="M11" s="407"/>
      <c r="N11" s="407"/>
      <c r="O11" s="407"/>
      <c r="P11" s="407"/>
      <c r="Q11" s="407"/>
      <c r="R11" s="407"/>
      <c r="S11" s="407"/>
      <c r="T11" s="407"/>
      <c r="U11" s="407"/>
      <c r="V11" s="433" t="s">
        <v>228</v>
      </c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 t="s">
        <v>129</v>
      </c>
      <c r="AQ11" s="312"/>
      <c r="AR11" s="312"/>
      <c r="AS11" s="525" t="s">
        <v>229</v>
      </c>
      <c r="AT11" s="312"/>
      <c r="AU11" s="457"/>
    </row>
    <row r="12" ht="105" customHeight="1" spans="1:47">
      <c r="A12" s="278"/>
      <c r="B12" s="279"/>
      <c r="C12" s="279">
        <v>3</v>
      </c>
      <c r="D12" s="279"/>
      <c r="E12" s="397" t="s">
        <v>230</v>
      </c>
      <c r="F12" s="407"/>
      <c r="G12" s="407"/>
      <c r="H12" s="407"/>
      <c r="I12" s="407"/>
      <c r="J12" s="407"/>
      <c r="K12" s="397" t="s">
        <v>231</v>
      </c>
      <c r="L12" s="407"/>
      <c r="M12" s="407"/>
      <c r="N12" s="407"/>
      <c r="O12" s="407"/>
      <c r="P12" s="407"/>
      <c r="Q12" s="407"/>
      <c r="R12" s="407"/>
      <c r="S12" s="407"/>
      <c r="T12" s="407"/>
      <c r="U12" s="407"/>
      <c r="V12" s="312" t="s">
        <v>129</v>
      </c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 t="s">
        <v>129</v>
      </c>
      <c r="AQ12" s="312"/>
      <c r="AR12" s="312"/>
      <c r="AS12" s="525" t="s">
        <v>129</v>
      </c>
      <c r="AT12" s="312"/>
      <c r="AU12" s="457"/>
    </row>
    <row r="13" ht="54" customHeight="1" spans="1:47">
      <c r="A13" s="278"/>
      <c r="B13" s="279"/>
      <c r="C13" s="279"/>
      <c r="D13" s="279"/>
      <c r="E13" s="407"/>
      <c r="F13" s="407"/>
      <c r="G13" s="407"/>
      <c r="H13" s="407"/>
      <c r="I13" s="407"/>
      <c r="J13" s="407"/>
      <c r="K13" s="369" t="s">
        <v>232</v>
      </c>
      <c r="L13" s="476"/>
      <c r="M13" s="521" t="s">
        <v>233</v>
      </c>
      <c r="N13" s="473"/>
      <c r="O13" s="473"/>
      <c r="P13" s="473"/>
      <c r="Q13" s="473"/>
      <c r="R13" s="473"/>
      <c r="S13" s="473"/>
      <c r="T13" s="473"/>
      <c r="U13" s="473"/>
      <c r="V13" s="312" t="s">
        <v>129</v>
      </c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525" t="s">
        <v>129</v>
      </c>
      <c r="AQ13" s="312"/>
      <c r="AR13" s="457"/>
      <c r="AS13" s="525" t="s">
        <v>129</v>
      </c>
      <c r="AT13" s="312"/>
      <c r="AU13" s="457"/>
    </row>
    <row r="14" ht="18" customHeight="1" spans="1:47">
      <c r="A14" s="278"/>
      <c r="B14" s="279"/>
      <c r="C14" s="279"/>
      <c r="D14" s="279"/>
      <c r="E14" s="407"/>
      <c r="F14" s="407"/>
      <c r="G14" s="407"/>
      <c r="H14" s="407"/>
      <c r="I14" s="407"/>
      <c r="J14" s="407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525"/>
      <c r="AQ14" s="312"/>
      <c r="AR14" s="457"/>
      <c r="AS14" s="525"/>
      <c r="AT14" s="312"/>
      <c r="AU14" s="457"/>
    </row>
    <row r="15" ht="56" customHeight="1" spans="1:47">
      <c r="A15" s="278"/>
      <c r="B15" s="279"/>
      <c r="C15" s="312"/>
      <c r="D15" s="312"/>
      <c r="E15" s="407"/>
      <c r="F15" s="407"/>
      <c r="G15" s="407"/>
      <c r="H15" s="407"/>
      <c r="I15" s="407"/>
      <c r="J15" s="407"/>
      <c r="K15" s="369" t="s">
        <v>234</v>
      </c>
      <c r="L15" s="476"/>
      <c r="M15" s="521" t="s">
        <v>235</v>
      </c>
      <c r="N15" s="473"/>
      <c r="O15" s="473"/>
      <c r="P15" s="473"/>
      <c r="Q15" s="473"/>
      <c r="R15" s="473"/>
      <c r="S15" s="473"/>
      <c r="T15" s="473"/>
      <c r="U15" s="473"/>
      <c r="V15" s="312" t="s">
        <v>129</v>
      </c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525" t="s">
        <v>129</v>
      </c>
      <c r="AQ15" s="312"/>
      <c r="AR15" s="457"/>
      <c r="AS15" s="525" t="s">
        <v>129</v>
      </c>
      <c r="AT15" s="312"/>
      <c r="AU15" s="457"/>
    </row>
    <row r="16" ht="21" customHeight="1" spans="1:47">
      <c r="A16" s="278"/>
      <c r="B16" s="279"/>
      <c r="C16" s="312"/>
      <c r="D16" s="312"/>
      <c r="E16" s="407"/>
      <c r="F16" s="407"/>
      <c r="G16" s="407"/>
      <c r="H16" s="407"/>
      <c r="I16" s="407"/>
      <c r="J16" s="407"/>
      <c r="K16" s="475"/>
      <c r="L16" s="475"/>
      <c r="M16" s="475"/>
      <c r="N16" s="475"/>
      <c r="O16" s="475"/>
      <c r="P16" s="475"/>
      <c r="Q16" s="475"/>
      <c r="R16" s="475"/>
      <c r="S16" s="475"/>
      <c r="T16" s="475"/>
      <c r="U16" s="475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525"/>
      <c r="AQ16" s="312"/>
      <c r="AR16" s="457"/>
      <c r="AS16" s="525"/>
      <c r="AT16" s="312"/>
      <c r="AU16" s="457"/>
    </row>
    <row r="17" ht="75" customHeight="1" spans="1:47">
      <c r="A17" s="278" t="s">
        <v>236</v>
      </c>
      <c r="B17" s="279"/>
      <c r="C17" s="279">
        <v>1</v>
      </c>
      <c r="D17" s="279"/>
      <c r="E17" s="397" t="s">
        <v>237</v>
      </c>
      <c r="F17" s="407"/>
      <c r="G17" s="407"/>
      <c r="H17" s="407"/>
      <c r="I17" s="407"/>
      <c r="J17" s="407"/>
      <c r="K17" s="397" t="s">
        <v>238</v>
      </c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312" t="s">
        <v>239</v>
      </c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 t="s">
        <v>129</v>
      </c>
      <c r="AQ17" s="312"/>
      <c r="AR17" s="312"/>
      <c r="AS17" s="523">
        <v>0.9</v>
      </c>
      <c r="AT17" s="523"/>
      <c r="AU17" s="524"/>
    </row>
    <row r="18" ht="66" customHeight="1" spans="1:47">
      <c r="A18" s="278"/>
      <c r="B18" s="279"/>
      <c r="C18" s="279">
        <v>2</v>
      </c>
      <c r="D18" s="279"/>
      <c r="E18" s="397" t="s">
        <v>240</v>
      </c>
      <c r="F18" s="407"/>
      <c r="G18" s="407"/>
      <c r="H18" s="407"/>
      <c r="I18" s="407"/>
      <c r="J18" s="407"/>
      <c r="K18" s="397" t="s">
        <v>241</v>
      </c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312" t="s">
        <v>242</v>
      </c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 t="s">
        <v>129</v>
      </c>
      <c r="AQ18" s="312"/>
      <c r="AR18" s="312"/>
      <c r="AS18" s="523">
        <v>0.9</v>
      </c>
      <c r="AT18" s="523"/>
      <c r="AU18" s="524"/>
    </row>
    <row r="19" ht="18" customHeight="1" spans="1:47">
      <c r="A19" s="278" t="s">
        <v>110</v>
      </c>
      <c r="B19" s="279"/>
      <c r="C19" s="279"/>
      <c r="D19" s="279"/>
      <c r="E19" s="284" t="s">
        <v>243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42"/>
      <c r="AD19" s="408"/>
      <c r="AE19" s="442"/>
      <c r="AF19" s="408"/>
      <c r="AG19" s="448">
        <v>90</v>
      </c>
      <c r="AH19" s="427"/>
      <c r="AI19" s="427"/>
      <c r="AJ19" s="427"/>
      <c r="AK19" s="326" t="s">
        <v>244</v>
      </c>
      <c r="AL19" s="449"/>
      <c r="AM19" s="449"/>
      <c r="AN19" s="449"/>
      <c r="AO19" s="449"/>
      <c r="AP19" s="449"/>
      <c r="AQ19" s="449"/>
      <c r="AR19" s="449"/>
      <c r="AS19" s="449"/>
      <c r="AT19" s="449"/>
      <c r="AU19" s="465"/>
    </row>
    <row r="20" ht="18" customHeight="1" spans="1:47">
      <c r="A20" s="278"/>
      <c r="B20" s="279"/>
      <c r="C20" s="279"/>
      <c r="D20" s="279"/>
      <c r="E20" s="409" t="s">
        <v>245</v>
      </c>
      <c r="F20" s="410"/>
      <c r="G20" s="410"/>
      <c r="H20" s="410"/>
      <c r="I20" s="410"/>
      <c r="J20" s="410"/>
      <c r="K20" s="410"/>
      <c r="L20" s="410"/>
      <c r="M20" s="426" t="s">
        <v>212</v>
      </c>
      <c r="N20" s="426"/>
      <c r="O20" s="426"/>
      <c r="P20" s="426"/>
      <c r="Q20" s="426"/>
      <c r="R20" s="349" t="s">
        <v>115</v>
      </c>
      <c r="S20" s="437"/>
      <c r="T20" s="437"/>
      <c r="U20" s="437"/>
      <c r="V20" s="437"/>
      <c r="W20" s="437"/>
      <c r="X20" s="437"/>
      <c r="Y20" s="437"/>
      <c r="Z20" s="437"/>
      <c r="AA20" s="437"/>
      <c r="AB20" s="437"/>
      <c r="AC20" s="437"/>
      <c r="AD20" s="437"/>
      <c r="AE20" s="437"/>
      <c r="AF20" s="437"/>
      <c r="AG20" s="449"/>
      <c r="AH20" s="449"/>
      <c r="AI20" s="449"/>
      <c r="AJ20" s="437"/>
      <c r="AK20" s="437"/>
      <c r="AL20" s="437"/>
      <c r="AM20" s="437"/>
      <c r="AN20" s="437"/>
      <c r="AO20" s="437"/>
      <c r="AP20" s="437"/>
      <c r="AQ20" s="437"/>
      <c r="AR20" s="437"/>
      <c r="AS20" s="437"/>
      <c r="AT20" s="452"/>
      <c r="AU20" s="466"/>
    </row>
    <row r="21" ht="18" customHeight="1" spans="1:47">
      <c r="A21" s="278"/>
      <c r="B21" s="279"/>
      <c r="C21" s="279"/>
      <c r="D21" s="279"/>
      <c r="E21" s="409" t="s">
        <v>246</v>
      </c>
      <c r="F21" s="346"/>
      <c r="G21" s="346"/>
      <c r="H21" s="346"/>
      <c r="I21" s="346"/>
      <c r="J21" s="346"/>
      <c r="K21" s="346"/>
      <c r="L21" s="346"/>
      <c r="M21" s="346"/>
      <c r="N21" s="304"/>
      <c r="O21" s="304"/>
      <c r="P21" s="427" t="s">
        <v>247</v>
      </c>
      <c r="Q21" s="427"/>
      <c r="R21" s="426"/>
      <c r="S21" s="426"/>
      <c r="T21" s="426"/>
      <c r="U21" s="426"/>
      <c r="V21" s="426"/>
      <c r="W21" s="426"/>
      <c r="X21" s="426"/>
      <c r="Y21" s="426"/>
      <c r="Z21" s="426"/>
      <c r="AA21" s="426"/>
      <c r="AB21" s="426"/>
      <c r="AC21" s="426"/>
      <c r="AD21" s="426"/>
      <c r="AE21" s="426"/>
      <c r="AF21" s="426"/>
      <c r="AG21" s="426"/>
      <c r="AH21" s="426"/>
      <c r="AI21" s="349" t="s">
        <v>117</v>
      </c>
      <c r="AJ21" s="437"/>
      <c r="AK21" s="437"/>
      <c r="AL21" s="437"/>
      <c r="AM21" s="437"/>
      <c r="AN21" s="437"/>
      <c r="AO21" s="437"/>
      <c r="AP21" s="437"/>
      <c r="AQ21" s="437"/>
      <c r="AR21" s="437"/>
      <c r="AS21" s="437"/>
      <c r="AT21" s="437"/>
      <c r="AU21" s="466"/>
    </row>
    <row r="22" ht="18" customHeight="1" spans="1:47">
      <c r="A22" s="278"/>
      <c r="B22" s="279"/>
      <c r="C22" s="279"/>
      <c r="D22" s="279"/>
      <c r="E22" s="317"/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11"/>
      <c r="AJ22" s="411"/>
      <c r="AK22" s="411"/>
      <c r="AL22" s="411"/>
      <c r="AM22" s="411"/>
      <c r="AN22" s="411"/>
      <c r="AO22" s="411"/>
      <c r="AP22" s="411"/>
      <c r="AQ22" s="411"/>
      <c r="AR22" s="411"/>
      <c r="AS22" s="411"/>
      <c r="AT22" s="411"/>
      <c r="AU22" s="467"/>
    </row>
    <row r="23" ht="18" customHeight="1" spans="1:47">
      <c r="A23" s="278"/>
      <c r="B23" s="279"/>
      <c r="C23" s="279"/>
      <c r="D23" s="279"/>
      <c r="E23" s="412" t="s">
        <v>118</v>
      </c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438"/>
      <c r="V23" s="438"/>
      <c r="W23" s="438"/>
      <c r="X23" s="438"/>
      <c r="Y23" s="438"/>
      <c r="Z23" s="438"/>
      <c r="AA23" s="438"/>
      <c r="AB23" s="438"/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50" t="s">
        <v>26</v>
      </c>
      <c r="AN23" s="438"/>
      <c r="AO23" s="438"/>
      <c r="AP23" s="438"/>
      <c r="AQ23" s="438"/>
      <c r="AR23" s="438"/>
      <c r="AS23" s="438"/>
      <c r="AT23" s="438"/>
      <c r="AU23" s="468"/>
    </row>
    <row r="24" ht="18" customHeight="1" spans="1:47">
      <c r="A24" s="278" t="s">
        <v>119</v>
      </c>
      <c r="B24" s="279"/>
      <c r="C24" s="279"/>
      <c r="D24" s="279"/>
      <c r="E24" s="413" t="s">
        <v>248</v>
      </c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51"/>
      <c r="AH24" s="414"/>
      <c r="AI24" s="414"/>
      <c r="AJ24" s="452"/>
      <c r="AK24" s="453"/>
      <c r="AL24" s="429"/>
      <c r="AM24" s="429"/>
      <c r="AN24" s="429"/>
      <c r="AO24" s="346" t="s">
        <v>249</v>
      </c>
      <c r="AP24" s="410"/>
      <c r="AQ24" s="410"/>
      <c r="AR24" s="410"/>
      <c r="AS24" s="410"/>
      <c r="AT24" s="410"/>
      <c r="AU24" s="469"/>
    </row>
    <row r="25" ht="18" customHeight="1" spans="1:47">
      <c r="A25" s="278"/>
      <c r="B25" s="279"/>
      <c r="C25" s="279"/>
      <c r="D25" s="279"/>
      <c r="E25" s="409" t="s">
        <v>250</v>
      </c>
      <c r="F25" s="410"/>
      <c r="G25" s="410"/>
      <c r="H25" s="410"/>
      <c r="I25" s="410"/>
      <c r="J25" s="410"/>
      <c r="K25" s="410"/>
      <c r="L25" s="410"/>
      <c r="M25" s="410"/>
      <c r="N25" s="410"/>
      <c r="O25" s="410"/>
      <c r="P25" s="429"/>
      <c r="Q25" s="429"/>
      <c r="R25" s="429"/>
      <c r="S25" s="429"/>
      <c r="T25" s="429"/>
      <c r="U25" s="349" t="s">
        <v>115</v>
      </c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49"/>
      <c r="AL25" s="449"/>
      <c r="AM25" s="449"/>
      <c r="AN25" s="437"/>
      <c r="AO25" s="437"/>
      <c r="AP25" s="437"/>
      <c r="AQ25" s="437"/>
      <c r="AR25" s="437"/>
      <c r="AS25" s="437"/>
      <c r="AT25" s="437"/>
      <c r="AU25" s="466"/>
    </row>
    <row r="26" ht="18" customHeight="1" spans="1:47">
      <c r="A26" s="278"/>
      <c r="B26" s="279"/>
      <c r="C26" s="279"/>
      <c r="D26" s="279"/>
      <c r="E26" s="409" t="s">
        <v>246</v>
      </c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430"/>
      <c r="Q26" s="430"/>
      <c r="R26" s="430"/>
      <c r="S26" s="430"/>
      <c r="T26" s="430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349" t="s">
        <v>117</v>
      </c>
      <c r="AJ26" s="437"/>
      <c r="AK26" s="437"/>
      <c r="AL26" s="437"/>
      <c r="AM26" s="437"/>
      <c r="AN26" s="437"/>
      <c r="AO26" s="437"/>
      <c r="AP26" s="437"/>
      <c r="AQ26" s="437"/>
      <c r="AR26" s="437"/>
      <c r="AS26" s="437"/>
      <c r="AT26" s="437"/>
      <c r="AU26" s="466"/>
    </row>
    <row r="27" ht="18" customHeight="1" spans="1:47">
      <c r="A27" s="278"/>
      <c r="B27" s="279"/>
      <c r="C27" s="279"/>
      <c r="D27" s="279"/>
      <c r="E27" s="317"/>
      <c r="F27" s="411"/>
      <c r="G27" s="411"/>
      <c r="H27" s="411"/>
      <c r="I27" s="411"/>
      <c r="J27" s="411"/>
      <c r="K27" s="411"/>
      <c r="L27" s="411"/>
      <c r="M27" s="411"/>
      <c r="N27" s="411"/>
      <c r="O27" s="411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11"/>
      <c r="AJ27" s="411"/>
      <c r="AK27" s="411"/>
      <c r="AL27" s="411"/>
      <c r="AM27" s="411"/>
      <c r="AN27" s="411"/>
      <c r="AO27" s="411"/>
      <c r="AP27" s="411"/>
      <c r="AQ27" s="411"/>
      <c r="AR27" s="411"/>
      <c r="AS27" s="411"/>
      <c r="AT27" s="411"/>
      <c r="AU27" s="467"/>
    </row>
    <row r="28" ht="18" customHeight="1" spans="1:47">
      <c r="A28" s="415"/>
      <c r="B28" s="416"/>
      <c r="C28" s="416"/>
      <c r="D28" s="416"/>
      <c r="E28" s="417" t="s">
        <v>118</v>
      </c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54" t="s">
        <v>26</v>
      </c>
      <c r="AN28" s="439"/>
      <c r="AO28" s="439"/>
      <c r="AP28" s="439"/>
      <c r="AQ28" s="439"/>
      <c r="AR28" s="439"/>
      <c r="AS28" s="439"/>
      <c r="AT28" s="439"/>
      <c r="AU28" s="470"/>
    </row>
  </sheetData>
  <mergeCells count="105">
    <mergeCell ref="A1:I1"/>
    <mergeCell ref="J1:AG1"/>
    <mergeCell ref="AH1:AU1"/>
    <mergeCell ref="A2:H2"/>
    <mergeCell ref="I2:AN2"/>
    <mergeCell ref="AO2:AU2"/>
    <mergeCell ref="A3:J3"/>
    <mergeCell ref="K3:Y3"/>
    <mergeCell ref="Z3:AD3"/>
    <mergeCell ref="AE3:AU3"/>
    <mergeCell ref="A4:J4"/>
    <mergeCell ref="K4:Y4"/>
    <mergeCell ref="Z4:AD4"/>
    <mergeCell ref="AE4:AU4"/>
    <mergeCell ref="A5:J5"/>
    <mergeCell ref="K5:Y5"/>
    <mergeCell ref="Z5:AD5"/>
    <mergeCell ref="AE5:AL5"/>
    <mergeCell ref="AN5:AU5"/>
    <mergeCell ref="A6:D6"/>
    <mergeCell ref="E6:J6"/>
    <mergeCell ref="K6:U6"/>
    <mergeCell ref="V6:AO6"/>
    <mergeCell ref="AP6:AR6"/>
    <mergeCell ref="AS6:AU6"/>
    <mergeCell ref="K7:U7"/>
    <mergeCell ref="K8:U8"/>
    <mergeCell ref="K9:U9"/>
    <mergeCell ref="K10:U10"/>
    <mergeCell ref="C11:D11"/>
    <mergeCell ref="E11:J11"/>
    <mergeCell ref="K11:U11"/>
    <mergeCell ref="V11:AO11"/>
    <mergeCell ref="AP11:AR11"/>
    <mergeCell ref="AS11:AU11"/>
    <mergeCell ref="K12:U12"/>
    <mergeCell ref="V12:AO12"/>
    <mergeCell ref="AP12:AR12"/>
    <mergeCell ref="AS12:AU12"/>
    <mergeCell ref="M13:U13"/>
    <mergeCell ref="M14:U14"/>
    <mergeCell ref="M15:U15"/>
    <mergeCell ref="M16:U16"/>
    <mergeCell ref="C17:D17"/>
    <mergeCell ref="E17:J17"/>
    <mergeCell ref="K17:U17"/>
    <mergeCell ref="V17:AO17"/>
    <mergeCell ref="AP17:AR17"/>
    <mergeCell ref="AS17:AU17"/>
    <mergeCell ref="C18:D18"/>
    <mergeCell ref="E18:J18"/>
    <mergeCell ref="K18:U18"/>
    <mergeCell ref="V18:AO18"/>
    <mergeCell ref="AP18:AR18"/>
    <mergeCell ref="AS18:AU18"/>
    <mergeCell ref="E19:AF19"/>
    <mergeCell ref="AG19:AJ19"/>
    <mergeCell ref="AK19:AU19"/>
    <mergeCell ref="E20:L20"/>
    <mergeCell ref="M20:Q20"/>
    <mergeCell ref="R20:AU20"/>
    <mergeCell ref="E21:O21"/>
    <mergeCell ref="P21:AH21"/>
    <mergeCell ref="AI21:AU21"/>
    <mergeCell ref="E22:AU22"/>
    <mergeCell ref="E23:AD23"/>
    <mergeCell ref="AE23:AL23"/>
    <mergeCell ref="AM23:AU23"/>
    <mergeCell ref="E24:AJ24"/>
    <mergeCell ref="AK24:AN24"/>
    <mergeCell ref="AO24:AU24"/>
    <mergeCell ref="E25:O25"/>
    <mergeCell ref="P25:T25"/>
    <mergeCell ref="U25:AU25"/>
    <mergeCell ref="E26:O26"/>
    <mergeCell ref="P26:AH26"/>
    <mergeCell ref="AI26:AU26"/>
    <mergeCell ref="E27:AU27"/>
    <mergeCell ref="E28:AD28"/>
    <mergeCell ref="AE28:AL28"/>
    <mergeCell ref="AM28:AU28"/>
    <mergeCell ref="A7:B16"/>
    <mergeCell ref="C7:D10"/>
    <mergeCell ref="E7:F10"/>
    <mergeCell ref="G7:J8"/>
    <mergeCell ref="V7:AO8"/>
    <mergeCell ref="AP7:AR8"/>
    <mergeCell ref="AS7:AU8"/>
    <mergeCell ref="G9:J10"/>
    <mergeCell ref="V9:AO10"/>
    <mergeCell ref="AP9:AR10"/>
    <mergeCell ref="AS9:AU10"/>
    <mergeCell ref="C12:D16"/>
    <mergeCell ref="E12:J16"/>
    <mergeCell ref="K13:L14"/>
    <mergeCell ref="V13:AO14"/>
    <mergeCell ref="AP13:AR14"/>
    <mergeCell ref="AS13:AU14"/>
    <mergeCell ref="K15:L16"/>
    <mergeCell ref="V15:AO16"/>
    <mergeCell ref="AP15:AR16"/>
    <mergeCell ref="AS15:AU16"/>
    <mergeCell ref="A17:B18"/>
    <mergeCell ref="A19:D23"/>
    <mergeCell ref="A24:D28"/>
  </mergeCells>
  <pageMargins left="0.75" right="0.75" top="1" bottom="1" header="0.5" footer="0.5"/>
  <pageSetup paperSize="9" scale="98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W28"/>
  <sheetViews>
    <sheetView topLeftCell="A8" workbookViewId="0">
      <selection activeCell="W12" sqref="W12:AP13"/>
    </sheetView>
  </sheetViews>
  <sheetFormatPr defaultColWidth="9.14285714285714" defaultRowHeight="12"/>
  <cols>
    <col min="1" max="1" width="0.704761904761905" customWidth="1"/>
    <col min="2" max="5" width="1.71428571428571" customWidth="1"/>
    <col min="6" max="48" width="2.14285714285714" customWidth="1"/>
  </cols>
  <sheetData>
    <row r="1" ht="3.75" customHeight="1" spans="1:4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</row>
    <row r="2" ht="31.5" customHeight="1" spans="1:49">
      <c r="A2" s="273"/>
      <c r="B2" s="471" t="s">
        <v>251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472"/>
      <c r="AC2" s="472"/>
      <c r="AD2" s="472"/>
      <c r="AE2" s="472"/>
      <c r="AF2" s="472"/>
      <c r="AG2" s="472"/>
      <c r="AH2" s="472"/>
      <c r="AI2" s="472"/>
      <c r="AJ2" s="472"/>
      <c r="AK2" s="472"/>
      <c r="AL2" s="472"/>
      <c r="AM2" s="472"/>
      <c r="AN2" s="472"/>
      <c r="AO2" s="472"/>
      <c r="AP2" s="472"/>
      <c r="AQ2" s="472"/>
      <c r="AR2" s="472"/>
      <c r="AS2" s="472"/>
      <c r="AT2" s="472"/>
      <c r="AU2" s="472"/>
      <c r="AV2" s="472"/>
      <c r="AW2" s="273"/>
    </row>
    <row r="3" ht="32.25" customHeight="1" spans="1:49">
      <c r="A3" s="273"/>
      <c r="B3" s="405" t="s">
        <v>252</v>
      </c>
      <c r="C3" s="406"/>
      <c r="D3" s="406"/>
      <c r="E3" s="406"/>
      <c r="F3" s="406"/>
      <c r="G3" s="406"/>
      <c r="H3" s="406"/>
      <c r="I3" s="406"/>
      <c r="J3" s="419" t="s">
        <v>253</v>
      </c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55" t="s">
        <v>216</v>
      </c>
      <c r="AQ3" s="455"/>
      <c r="AR3" s="455"/>
      <c r="AS3" s="455"/>
      <c r="AT3" s="455"/>
      <c r="AU3" s="455"/>
      <c r="AV3" s="455"/>
      <c r="AW3" s="273"/>
    </row>
    <row r="4" ht="30" customHeight="1" spans="1:49">
      <c r="A4" s="335"/>
      <c r="B4" s="276" t="s">
        <v>95</v>
      </c>
      <c r="C4" s="277"/>
      <c r="D4" s="277"/>
      <c r="E4" s="277"/>
      <c r="F4" s="277"/>
      <c r="G4" s="277"/>
      <c r="H4" s="277"/>
      <c r="I4" s="277"/>
      <c r="J4" s="277"/>
      <c r="K4" s="277"/>
      <c r="L4" s="420" t="s">
        <v>127</v>
      </c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277" t="s">
        <v>128</v>
      </c>
      <c r="AB4" s="277"/>
      <c r="AC4" s="277"/>
      <c r="AD4" s="277"/>
      <c r="AE4" s="277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56"/>
      <c r="AW4" s="386"/>
    </row>
    <row r="5" ht="30" customHeight="1" spans="1:49">
      <c r="A5" s="335"/>
      <c r="B5" s="278" t="s">
        <v>97</v>
      </c>
      <c r="C5" s="279"/>
      <c r="D5" s="279"/>
      <c r="E5" s="279"/>
      <c r="F5" s="279"/>
      <c r="G5" s="279"/>
      <c r="H5" s="279"/>
      <c r="I5" s="279"/>
      <c r="J5" s="279"/>
      <c r="K5" s="279"/>
      <c r="L5" s="421" t="s">
        <v>217</v>
      </c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279" t="s">
        <v>98</v>
      </c>
      <c r="AB5" s="279"/>
      <c r="AC5" s="279"/>
      <c r="AD5" s="279"/>
      <c r="AE5" s="279"/>
      <c r="AF5" s="279" t="s">
        <v>99</v>
      </c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458"/>
      <c r="AW5" s="386"/>
    </row>
    <row r="6" ht="30" customHeight="1" spans="1:49">
      <c r="A6" s="335"/>
      <c r="B6" s="278" t="s">
        <v>100</v>
      </c>
      <c r="C6" s="279"/>
      <c r="D6" s="279"/>
      <c r="E6" s="279"/>
      <c r="F6" s="279"/>
      <c r="G6" s="279"/>
      <c r="H6" s="279"/>
      <c r="I6" s="279"/>
      <c r="J6" s="279"/>
      <c r="K6" s="279"/>
      <c r="L6" s="422" t="s">
        <v>254</v>
      </c>
      <c r="M6" s="423"/>
      <c r="N6" s="423"/>
      <c r="O6" s="423"/>
      <c r="P6" s="423"/>
      <c r="Q6" s="423"/>
      <c r="R6" s="423"/>
      <c r="S6" s="423"/>
      <c r="T6" s="431"/>
      <c r="U6" s="421"/>
      <c r="V6" s="421"/>
      <c r="W6" s="421"/>
      <c r="X6" s="421"/>
      <c r="Y6" s="421"/>
      <c r="Z6" s="421"/>
      <c r="AA6" s="279" t="s">
        <v>102</v>
      </c>
      <c r="AB6" s="279"/>
      <c r="AC6" s="279"/>
      <c r="AD6" s="279"/>
      <c r="AE6" s="279"/>
      <c r="AF6" s="478" t="s">
        <v>255</v>
      </c>
      <c r="AG6" s="279"/>
      <c r="AH6" s="279"/>
      <c r="AI6" s="279"/>
      <c r="AJ6" s="279"/>
      <c r="AK6" s="279"/>
      <c r="AL6" s="279"/>
      <c r="AM6" s="300"/>
      <c r="AN6" s="301" t="s">
        <v>104</v>
      </c>
      <c r="AO6" s="481" t="s">
        <v>26</v>
      </c>
      <c r="AP6" s="281"/>
      <c r="AQ6" s="279"/>
      <c r="AR6" s="279"/>
      <c r="AS6" s="279"/>
      <c r="AT6" s="279"/>
      <c r="AU6" s="279"/>
      <c r="AV6" s="458"/>
      <c r="AW6" s="386"/>
    </row>
    <row r="7" ht="25.5" customHeight="1" spans="1:49">
      <c r="A7" s="335"/>
      <c r="B7" s="278" t="s">
        <v>50</v>
      </c>
      <c r="C7" s="279"/>
      <c r="D7" s="279"/>
      <c r="E7" s="279"/>
      <c r="F7" s="279" t="s">
        <v>133</v>
      </c>
      <c r="G7" s="279"/>
      <c r="H7" s="279"/>
      <c r="I7" s="279"/>
      <c r="J7" s="279"/>
      <c r="K7" s="279"/>
      <c r="L7" s="279" t="s">
        <v>134</v>
      </c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279" t="s">
        <v>135</v>
      </c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279" t="s">
        <v>136</v>
      </c>
      <c r="AR7" s="279"/>
      <c r="AS7" s="279"/>
      <c r="AT7" s="279" t="s">
        <v>137</v>
      </c>
      <c r="AU7" s="279"/>
      <c r="AV7" s="458"/>
      <c r="AW7" s="386"/>
    </row>
    <row r="8" ht="51.75" customHeight="1" spans="1:49">
      <c r="A8" s="335"/>
      <c r="B8" s="278" t="s">
        <v>219</v>
      </c>
      <c r="C8" s="279"/>
      <c r="D8" s="279">
        <v>1</v>
      </c>
      <c r="E8" s="279"/>
      <c r="F8" s="397" t="s">
        <v>256</v>
      </c>
      <c r="G8" s="407"/>
      <c r="H8" s="407"/>
      <c r="I8" s="407"/>
      <c r="J8" s="407"/>
      <c r="K8" s="407"/>
      <c r="L8" s="293" t="s">
        <v>257</v>
      </c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7" t="s">
        <v>258</v>
      </c>
      <c r="X8" s="479"/>
      <c r="Y8" s="479"/>
      <c r="Z8" s="479"/>
      <c r="AA8" s="479"/>
      <c r="AB8" s="479"/>
      <c r="AC8" s="479"/>
      <c r="AD8" s="479"/>
      <c r="AE8" s="479"/>
      <c r="AF8" s="479"/>
      <c r="AG8" s="479"/>
      <c r="AH8" s="479"/>
      <c r="AI8" s="479"/>
      <c r="AJ8" s="479"/>
      <c r="AK8" s="479"/>
      <c r="AL8" s="479"/>
      <c r="AM8" s="479"/>
      <c r="AN8" s="479"/>
      <c r="AO8" s="479"/>
      <c r="AP8" s="479"/>
      <c r="AQ8" s="479" t="s">
        <v>129</v>
      </c>
      <c r="AR8" s="479"/>
      <c r="AS8" s="479"/>
      <c r="AT8" s="460">
        <v>1</v>
      </c>
      <c r="AU8" s="460"/>
      <c r="AV8" s="461"/>
      <c r="AW8" s="386"/>
    </row>
    <row r="9" ht="27.75" customHeight="1" spans="1:49">
      <c r="A9" s="335"/>
      <c r="B9" s="278"/>
      <c r="C9" s="279"/>
      <c r="D9" s="279"/>
      <c r="E9" s="279"/>
      <c r="F9" s="407"/>
      <c r="G9" s="407"/>
      <c r="H9" s="407"/>
      <c r="I9" s="407"/>
      <c r="J9" s="407"/>
      <c r="K9" s="407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9"/>
      <c r="X9" s="479"/>
      <c r="Y9" s="479"/>
      <c r="Z9" s="479"/>
      <c r="AA9" s="479"/>
      <c r="AB9" s="479"/>
      <c r="AC9" s="479"/>
      <c r="AD9" s="479"/>
      <c r="AE9" s="479"/>
      <c r="AF9" s="479"/>
      <c r="AG9" s="479"/>
      <c r="AH9" s="479"/>
      <c r="AI9" s="479"/>
      <c r="AJ9" s="479"/>
      <c r="AK9" s="479"/>
      <c r="AL9" s="479"/>
      <c r="AM9" s="479"/>
      <c r="AN9" s="479"/>
      <c r="AO9" s="479"/>
      <c r="AP9" s="479"/>
      <c r="AQ9" s="479"/>
      <c r="AR9" s="479"/>
      <c r="AS9" s="479"/>
      <c r="AT9" s="460"/>
      <c r="AU9" s="460"/>
      <c r="AV9" s="461"/>
      <c r="AW9" s="386"/>
    </row>
    <row r="10" ht="69" customHeight="1" spans="1:49">
      <c r="A10" s="335"/>
      <c r="B10" s="278"/>
      <c r="C10" s="279"/>
      <c r="D10" s="279">
        <v>2</v>
      </c>
      <c r="E10" s="279"/>
      <c r="F10" s="397" t="s">
        <v>259</v>
      </c>
      <c r="G10" s="407"/>
      <c r="H10" s="407"/>
      <c r="I10" s="407"/>
      <c r="J10" s="407"/>
      <c r="K10" s="407"/>
      <c r="L10" s="397" t="s">
        <v>260</v>
      </c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91" t="s">
        <v>261</v>
      </c>
      <c r="X10" s="492"/>
      <c r="Y10" s="492"/>
      <c r="Z10" s="492"/>
      <c r="AA10" s="492"/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2"/>
      <c r="AO10" s="492"/>
      <c r="AP10" s="492"/>
      <c r="AQ10" s="479" t="s">
        <v>129</v>
      </c>
      <c r="AR10" s="479"/>
      <c r="AS10" s="479"/>
      <c r="AT10" s="460">
        <v>1</v>
      </c>
      <c r="AU10" s="460"/>
      <c r="AV10" s="461"/>
      <c r="AW10" s="386"/>
    </row>
    <row r="11" ht="93" customHeight="1" spans="1:49">
      <c r="A11" s="335"/>
      <c r="B11" s="278" t="s">
        <v>236</v>
      </c>
      <c r="C11" s="279"/>
      <c r="D11" s="279">
        <v>1</v>
      </c>
      <c r="E11" s="279"/>
      <c r="F11" s="397" t="s">
        <v>262</v>
      </c>
      <c r="G11" s="407"/>
      <c r="H11" s="407"/>
      <c r="I11" s="407"/>
      <c r="J11" s="407"/>
      <c r="K11" s="407"/>
      <c r="L11" s="293" t="s">
        <v>263</v>
      </c>
      <c r="M11" s="473"/>
      <c r="N11" s="473"/>
      <c r="O11" s="473"/>
      <c r="P11" s="473"/>
      <c r="Q11" s="473"/>
      <c r="R11" s="473"/>
      <c r="S11" s="473"/>
      <c r="T11" s="473"/>
      <c r="U11" s="473"/>
      <c r="V11" s="493"/>
      <c r="W11" s="494" t="s">
        <v>264</v>
      </c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5"/>
      <c r="AM11" s="495"/>
      <c r="AN11" s="495"/>
      <c r="AO11" s="495"/>
      <c r="AP11" s="507"/>
      <c r="AQ11" s="508" t="s">
        <v>129</v>
      </c>
      <c r="AR11" s="492"/>
      <c r="AS11" s="492"/>
      <c r="AT11" s="459">
        <v>0.9</v>
      </c>
      <c r="AU11" s="460"/>
      <c r="AV11" s="461"/>
      <c r="AW11" s="386"/>
    </row>
    <row r="12" ht="39" customHeight="1" spans="1:49">
      <c r="A12" s="335"/>
      <c r="B12" s="278"/>
      <c r="C12" s="279"/>
      <c r="D12" s="279">
        <v>2</v>
      </c>
      <c r="E12" s="279"/>
      <c r="F12" s="397" t="s">
        <v>265</v>
      </c>
      <c r="G12" s="407"/>
      <c r="H12" s="407"/>
      <c r="I12" s="407"/>
      <c r="J12" s="407"/>
      <c r="K12" s="425"/>
      <c r="L12" s="484" t="s">
        <v>266</v>
      </c>
      <c r="M12" s="485"/>
      <c r="N12" s="485"/>
      <c r="O12" s="485"/>
      <c r="P12" s="485"/>
      <c r="Q12" s="485"/>
      <c r="R12" s="485"/>
      <c r="S12" s="485"/>
      <c r="T12" s="485"/>
      <c r="U12" s="485"/>
      <c r="V12" s="496"/>
      <c r="W12" s="497" t="s">
        <v>267</v>
      </c>
      <c r="X12" s="497"/>
      <c r="Y12" s="497"/>
      <c r="Z12" s="497"/>
      <c r="AA12" s="497"/>
      <c r="AB12" s="497"/>
      <c r="AC12" s="497"/>
      <c r="AD12" s="497"/>
      <c r="AE12" s="497"/>
      <c r="AF12" s="497"/>
      <c r="AG12" s="497"/>
      <c r="AH12" s="497"/>
      <c r="AI12" s="497"/>
      <c r="AJ12" s="497"/>
      <c r="AK12" s="497"/>
      <c r="AL12" s="497"/>
      <c r="AM12" s="497"/>
      <c r="AN12" s="497"/>
      <c r="AO12" s="497"/>
      <c r="AP12" s="497"/>
      <c r="AQ12" s="509">
        <v>3</v>
      </c>
      <c r="AR12" s="509"/>
      <c r="AS12" s="509"/>
      <c r="AT12" s="510">
        <v>1</v>
      </c>
      <c r="AU12" s="463"/>
      <c r="AV12" s="464"/>
      <c r="AW12" s="386"/>
    </row>
    <row r="13" ht="22" customHeight="1" spans="1:49">
      <c r="A13" s="335"/>
      <c r="B13" s="278"/>
      <c r="C13" s="279"/>
      <c r="D13" s="279"/>
      <c r="E13" s="279"/>
      <c r="F13" s="407"/>
      <c r="G13" s="407"/>
      <c r="H13" s="407"/>
      <c r="I13" s="407"/>
      <c r="J13" s="407"/>
      <c r="K13" s="425"/>
      <c r="L13" s="486" t="s">
        <v>268</v>
      </c>
      <c r="M13" s="487"/>
      <c r="N13" s="487"/>
      <c r="O13" s="487"/>
      <c r="P13" s="487"/>
      <c r="Q13" s="487"/>
      <c r="R13" s="487"/>
      <c r="S13" s="487"/>
      <c r="T13" s="487"/>
      <c r="U13" s="487"/>
      <c r="V13" s="498"/>
      <c r="W13" s="497"/>
      <c r="X13" s="497"/>
      <c r="Y13" s="497"/>
      <c r="Z13" s="497"/>
      <c r="AA13" s="497"/>
      <c r="AB13" s="497"/>
      <c r="AC13" s="497"/>
      <c r="AD13" s="497"/>
      <c r="AE13" s="497"/>
      <c r="AF13" s="497"/>
      <c r="AG13" s="497"/>
      <c r="AH13" s="497"/>
      <c r="AI13" s="497"/>
      <c r="AJ13" s="497"/>
      <c r="AK13" s="497"/>
      <c r="AL13" s="497"/>
      <c r="AM13" s="497"/>
      <c r="AN13" s="497"/>
      <c r="AO13" s="497"/>
      <c r="AP13" s="497"/>
      <c r="AQ13" s="509"/>
      <c r="AR13" s="509"/>
      <c r="AS13" s="509"/>
      <c r="AT13" s="511"/>
      <c r="AU13" s="463"/>
      <c r="AV13" s="464"/>
      <c r="AW13" s="386"/>
    </row>
    <row r="14" ht="45" customHeight="1" spans="1:49">
      <c r="A14" s="335"/>
      <c r="B14" s="278"/>
      <c r="C14" s="279"/>
      <c r="D14" s="279">
        <v>3</v>
      </c>
      <c r="E14" s="279"/>
      <c r="F14" s="279" t="s">
        <v>269</v>
      </c>
      <c r="G14" s="279"/>
      <c r="H14" s="279" t="s">
        <v>270</v>
      </c>
      <c r="I14" s="312"/>
      <c r="J14" s="312"/>
      <c r="K14" s="312"/>
      <c r="L14" s="488" t="s">
        <v>271</v>
      </c>
      <c r="M14" s="489"/>
      <c r="N14" s="489"/>
      <c r="O14" s="489"/>
      <c r="P14" s="489"/>
      <c r="Q14" s="489"/>
      <c r="R14" s="489"/>
      <c r="S14" s="489"/>
      <c r="T14" s="489"/>
      <c r="U14" s="489"/>
      <c r="V14" s="489"/>
      <c r="W14" s="499" t="s">
        <v>129</v>
      </c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  <c r="AN14" s="500"/>
      <c r="AO14" s="500"/>
      <c r="AP14" s="512"/>
      <c r="AQ14" s="513" t="s">
        <v>129</v>
      </c>
      <c r="AR14" s="514"/>
      <c r="AS14" s="514"/>
      <c r="AT14" s="482" t="s">
        <v>129</v>
      </c>
      <c r="AU14" s="479"/>
      <c r="AV14" s="483"/>
      <c r="AW14" s="386"/>
    </row>
    <row r="15" ht="19" customHeight="1" spans="1:49">
      <c r="A15" s="335"/>
      <c r="B15" s="278"/>
      <c r="C15" s="279"/>
      <c r="D15" s="279"/>
      <c r="E15" s="279"/>
      <c r="F15" s="279"/>
      <c r="G15" s="279"/>
      <c r="H15" s="312"/>
      <c r="I15" s="312"/>
      <c r="J15" s="312"/>
      <c r="K15" s="312"/>
      <c r="L15" s="490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501"/>
      <c r="X15" s="492"/>
      <c r="Y15" s="492"/>
      <c r="Z15" s="492"/>
      <c r="AA15" s="492"/>
      <c r="AB15" s="492"/>
      <c r="AC15" s="492"/>
      <c r="AD15" s="492"/>
      <c r="AE15" s="492"/>
      <c r="AF15" s="492"/>
      <c r="AG15" s="492"/>
      <c r="AH15" s="492"/>
      <c r="AI15" s="492"/>
      <c r="AJ15" s="492"/>
      <c r="AK15" s="492"/>
      <c r="AL15" s="492"/>
      <c r="AM15" s="492"/>
      <c r="AN15" s="492"/>
      <c r="AO15" s="492"/>
      <c r="AP15" s="515"/>
      <c r="AQ15" s="516"/>
      <c r="AR15" s="479"/>
      <c r="AS15" s="479"/>
      <c r="AT15" s="482"/>
      <c r="AU15" s="479"/>
      <c r="AV15" s="483"/>
      <c r="AW15" s="386"/>
    </row>
    <row r="16" ht="44" customHeight="1" spans="1:49">
      <c r="A16" s="335"/>
      <c r="B16" s="278"/>
      <c r="C16" s="279"/>
      <c r="D16" s="279"/>
      <c r="E16" s="279"/>
      <c r="F16" s="279"/>
      <c r="G16" s="279"/>
      <c r="H16" s="279" t="s">
        <v>272</v>
      </c>
      <c r="I16" s="312"/>
      <c r="J16" s="312"/>
      <c r="K16" s="312"/>
      <c r="L16" s="488" t="s">
        <v>273</v>
      </c>
      <c r="M16" s="489"/>
      <c r="N16" s="489"/>
      <c r="O16" s="489"/>
      <c r="P16" s="489"/>
      <c r="Q16" s="489"/>
      <c r="R16" s="489"/>
      <c r="S16" s="489"/>
      <c r="T16" s="489"/>
      <c r="U16" s="489"/>
      <c r="V16" s="489"/>
      <c r="W16" s="502" t="s">
        <v>129</v>
      </c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3"/>
      <c r="AI16" s="503"/>
      <c r="AJ16" s="503"/>
      <c r="AK16" s="503"/>
      <c r="AL16" s="503"/>
      <c r="AM16" s="503"/>
      <c r="AN16" s="503"/>
      <c r="AO16" s="503"/>
      <c r="AP16" s="517"/>
      <c r="AQ16" s="513" t="s">
        <v>129</v>
      </c>
      <c r="AR16" s="514"/>
      <c r="AS16" s="514"/>
      <c r="AT16" s="482" t="s">
        <v>129</v>
      </c>
      <c r="AU16" s="479"/>
      <c r="AV16" s="483"/>
      <c r="AW16" s="386"/>
    </row>
    <row r="17" ht="21" customHeight="1" spans="1:49">
      <c r="A17" s="335"/>
      <c r="B17" s="278"/>
      <c r="C17" s="279"/>
      <c r="D17" s="279"/>
      <c r="E17" s="279"/>
      <c r="F17" s="279"/>
      <c r="G17" s="279"/>
      <c r="H17" s="312"/>
      <c r="I17" s="312"/>
      <c r="J17" s="312"/>
      <c r="K17" s="312"/>
      <c r="L17" s="490"/>
      <c r="M17" s="438"/>
      <c r="N17" s="438"/>
      <c r="O17" s="438"/>
      <c r="P17" s="438"/>
      <c r="Q17" s="438"/>
      <c r="R17" s="438"/>
      <c r="S17" s="438"/>
      <c r="T17" s="438"/>
      <c r="U17" s="438"/>
      <c r="V17" s="438"/>
      <c r="W17" s="504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  <c r="AL17" s="505"/>
      <c r="AM17" s="505"/>
      <c r="AN17" s="505"/>
      <c r="AO17" s="505"/>
      <c r="AP17" s="518"/>
      <c r="AQ17" s="516"/>
      <c r="AR17" s="479"/>
      <c r="AS17" s="479"/>
      <c r="AT17" s="482"/>
      <c r="AU17" s="479"/>
      <c r="AV17" s="483"/>
      <c r="AW17" s="386"/>
    </row>
    <row r="18" ht="18.75" customHeight="1" spans="1:49">
      <c r="A18" s="335"/>
      <c r="B18" s="278" t="s">
        <v>110</v>
      </c>
      <c r="C18" s="279"/>
      <c r="D18" s="279"/>
      <c r="E18" s="279"/>
      <c r="F18" s="284" t="s">
        <v>243</v>
      </c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10"/>
      <c r="X18" s="410"/>
      <c r="Y18" s="410"/>
      <c r="Z18" s="410"/>
      <c r="AA18" s="410"/>
      <c r="AB18" s="410"/>
      <c r="AC18" s="410"/>
      <c r="AD18" s="442"/>
      <c r="AE18" s="410"/>
      <c r="AF18" s="442"/>
      <c r="AG18" s="410"/>
      <c r="AH18" s="506">
        <v>90</v>
      </c>
      <c r="AI18" s="426"/>
      <c r="AJ18" s="426"/>
      <c r="AK18" s="426"/>
      <c r="AL18" s="349" t="s">
        <v>244</v>
      </c>
      <c r="AM18" s="437"/>
      <c r="AN18" s="437"/>
      <c r="AO18" s="437"/>
      <c r="AP18" s="437"/>
      <c r="AQ18" s="449"/>
      <c r="AR18" s="449"/>
      <c r="AS18" s="449"/>
      <c r="AT18" s="449"/>
      <c r="AU18" s="449"/>
      <c r="AV18" s="465"/>
      <c r="AW18" s="386"/>
    </row>
    <row r="19" ht="18.75" customHeight="1" spans="1:49">
      <c r="A19" s="335"/>
      <c r="B19" s="278"/>
      <c r="C19" s="279"/>
      <c r="D19" s="279"/>
      <c r="E19" s="279"/>
      <c r="F19" s="409" t="s">
        <v>245</v>
      </c>
      <c r="G19" s="410"/>
      <c r="H19" s="410"/>
      <c r="I19" s="410"/>
      <c r="J19" s="410"/>
      <c r="K19" s="410"/>
      <c r="L19" s="410"/>
      <c r="M19" s="410"/>
      <c r="N19" s="426" t="s">
        <v>212</v>
      </c>
      <c r="O19" s="426"/>
      <c r="P19" s="426"/>
      <c r="Q19" s="426"/>
      <c r="R19" s="426"/>
      <c r="S19" s="349" t="s">
        <v>115</v>
      </c>
      <c r="T19" s="437"/>
      <c r="U19" s="437"/>
      <c r="V19" s="437"/>
      <c r="W19" s="437"/>
      <c r="X19" s="437"/>
      <c r="Y19" s="437"/>
      <c r="Z19" s="437"/>
      <c r="AA19" s="437"/>
      <c r="AB19" s="437"/>
      <c r="AC19" s="437"/>
      <c r="AD19" s="437"/>
      <c r="AE19" s="437"/>
      <c r="AF19" s="437"/>
      <c r="AG19" s="437"/>
      <c r="AH19" s="449"/>
      <c r="AI19" s="449"/>
      <c r="AJ19" s="449"/>
      <c r="AK19" s="437"/>
      <c r="AL19" s="437"/>
      <c r="AM19" s="437"/>
      <c r="AN19" s="437"/>
      <c r="AO19" s="437"/>
      <c r="AP19" s="437"/>
      <c r="AQ19" s="437"/>
      <c r="AR19" s="437"/>
      <c r="AS19" s="437"/>
      <c r="AT19" s="437"/>
      <c r="AU19" s="452"/>
      <c r="AV19" s="466"/>
      <c r="AW19" s="386"/>
    </row>
    <row r="20" ht="18.75" customHeight="1" spans="1:49">
      <c r="A20" s="335"/>
      <c r="B20" s="278"/>
      <c r="C20" s="279"/>
      <c r="D20" s="279"/>
      <c r="E20" s="279"/>
      <c r="F20" s="409" t="s">
        <v>246</v>
      </c>
      <c r="G20" s="346"/>
      <c r="H20" s="346"/>
      <c r="I20" s="346"/>
      <c r="J20" s="346"/>
      <c r="K20" s="346"/>
      <c r="L20" s="346"/>
      <c r="M20" s="346"/>
      <c r="N20" s="346"/>
      <c r="O20" s="304"/>
      <c r="P20" s="304"/>
      <c r="Q20" s="427" t="s">
        <v>247</v>
      </c>
      <c r="R20" s="427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349" t="s">
        <v>117</v>
      </c>
      <c r="AK20" s="437"/>
      <c r="AL20" s="437"/>
      <c r="AM20" s="437"/>
      <c r="AN20" s="437"/>
      <c r="AO20" s="437"/>
      <c r="AP20" s="437"/>
      <c r="AQ20" s="437"/>
      <c r="AR20" s="437"/>
      <c r="AS20" s="437"/>
      <c r="AT20" s="437"/>
      <c r="AU20" s="437"/>
      <c r="AV20" s="466"/>
      <c r="AW20" s="386"/>
    </row>
    <row r="21" ht="21.75" customHeight="1" spans="1:49">
      <c r="A21" s="335"/>
      <c r="B21" s="278"/>
      <c r="C21" s="279"/>
      <c r="D21" s="279"/>
      <c r="E21" s="279"/>
      <c r="F21" s="317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11"/>
      <c r="AK21" s="411"/>
      <c r="AL21" s="411"/>
      <c r="AM21" s="411"/>
      <c r="AN21" s="411"/>
      <c r="AO21" s="411"/>
      <c r="AP21" s="411"/>
      <c r="AQ21" s="411"/>
      <c r="AR21" s="411"/>
      <c r="AS21" s="411"/>
      <c r="AT21" s="411"/>
      <c r="AU21" s="411"/>
      <c r="AV21" s="467"/>
      <c r="AW21" s="386"/>
    </row>
    <row r="22" ht="18.75" customHeight="1" spans="1:49">
      <c r="A22" s="335"/>
      <c r="B22" s="278"/>
      <c r="C22" s="279"/>
      <c r="D22" s="279"/>
      <c r="E22" s="279"/>
      <c r="F22" s="412" t="s">
        <v>118</v>
      </c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438"/>
      <c r="W22" s="438"/>
      <c r="X22" s="438"/>
      <c r="Y22" s="438"/>
      <c r="Z22" s="438"/>
      <c r="AA22" s="438"/>
      <c r="AB22" s="438"/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50" t="s">
        <v>26</v>
      </c>
      <c r="AO22" s="438"/>
      <c r="AP22" s="438"/>
      <c r="AQ22" s="438"/>
      <c r="AR22" s="438"/>
      <c r="AS22" s="438"/>
      <c r="AT22" s="438"/>
      <c r="AU22" s="438"/>
      <c r="AV22" s="468"/>
      <c r="AW22" s="386"/>
    </row>
    <row r="23" ht="18.75" customHeight="1" spans="1:49">
      <c r="A23" s="335"/>
      <c r="B23" s="278" t="s">
        <v>119</v>
      </c>
      <c r="C23" s="279"/>
      <c r="D23" s="279"/>
      <c r="E23" s="279"/>
      <c r="F23" s="413" t="s">
        <v>248</v>
      </c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51"/>
      <c r="AI23" s="414"/>
      <c r="AJ23" s="414"/>
      <c r="AK23" s="452"/>
      <c r="AL23" s="453"/>
      <c r="AM23" s="429"/>
      <c r="AN23" s="429"/>
      <c r="AO23" s="429"/>
      <c r="AP23" s="346" t="s">
        <v>249</v>
      </c>
      <c r="AQ23" s="410"/>
      <c r="AR23" s="410"/>
      <c r="AS23" s="410"/>
      <c r="AT23" s="410"/>
      <c r="AU23" s="410"/>
      <c r="AV23" s="469"/>
      <c r="AW23" s="386"/>
    </row>
    <row r="24" ht="18.75" customHeight="1" spans="1:49">
      <c r="A24" s="335"/>
      <c r="B24" s="278"/>
      <c r="C24" s="279"/>
      <c r="D24" s="279"/>
      <c r="E24" s="279"/>
      <c r="F24" s="409" t="s">
        <v>250</v>
      </c>
      <c r="G24" s="410"/>
      <c r="H24" s="410"/>
      <c r="I24" s="410"/>
      <c r="J24" s="410"/>
      <c r="K24" s="410"/>
      <c r="L24" s="410"/>
      <c r="M24" s="410"/>
      <c r="N24" s="410"/>
      <c r="O24" s="410"/>
      <c r="P24" s="410"/>
      <c r="Q24" s="429"/>
      <c r="R24" s="429"/>
      <c r="S24" s="429"/>
      <c r="T24" s="429"/>
      <c r="U24" s="429"/>
      <c r="V24" s="349" t="s">
        <v>115</v>
      </c>
      <c r="W24" s="437"/>
      <c r="X24" s="437"/>
      <c r="Y24" s="437"/>
      <c r="Z24" s="437"/>
      <c r="AA24" s="437"/>
      <c r="AB24" s="437"/>
      <c r="AC24" s="437"/>
      <c r="AD24" s="437"/>
      <c r="AE24" s="437"/>
      <c r="AF24" s="437"/>
      <c r="AG24" s="437"/>
      <c r="AH24" s="437"/>
      <c r="AI24" s="437"/>
      <c r="AJ24" s="437"/>
      <c r="AK24" s="437"/>
      <c r="AL24" s="449"/>
      <c r="AM24" s="449"/>
      <c r="AN24" s="449"/>
      <c r="AO24" s="437"/>
      <c r="AP24" s="437"/>
      <c r="AQ24" s="437"/>
      <c r="AR24" s="437"/>
      <c r="AS24" s="437"/>
      <c r="AT24" s="437"/>
      <c r="AU24" s="437"/>
      <c r="AV24" s="466"/>
      <c r="AW24" s="386"/>
    </row>
    <row r="25" ht="18.75" customHeight="1" spans="1:49">
      <c r="A25" s="335"/>
      <c r="B25" s="278"/>
      <c r="C25" s="279"/>
      <c r="D25" s="279"/>
      <c r="E25" s="279"/>
      <c r="F25" s="409" t="s">
        <v>246</v>
      </c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430"/>
      <c r="R25" s="430"/>
      <c r="S25" s="430"/>
      <c r="T25" s="430"/>
      <c r="U25" s="430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349" t="s">
        <v>117</v>
      </c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66"/>
      <c r="AW25" s="386"/>
    </row>
    <row r="26" ht="21" customHeight="1" spans="1:49">
      <c r="A26" s="335"/>
      <c r="B26" s="278"/>
      <c r="C26" s="279"/>
      <c r="D26" s="279"/>
      <c r="E26" s="279"/>
      <c r="F26" s="317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11"/>
      <c r="AK26" s="411"/>
      <c r="AL26" s="411"/>
      <c r="AM26" s="411"/>
      <c r="AN26" s="411"/>
      <c r="AO26" s="411"/>
      <c r="AP26" s="411"/>
      <c r="AQ26" s="411"/>
      <c r="AR26" s="411"/>
      <c r="AS26" s="411"/>
      <c r="AT26" s="411"/>
      <c r="AU26" s="411"/>
      <c r="AV26" s="467"/>
      <c r="AW26" s="386"/>
    </row>
    <row r="27" ht="18.75" customHeight="1" spans="1:49">
      <c r="A27" s="335"/>
      <c r="B27" s="415"/>
      <c r="C27" s="416"/>
      <c r="D27" s="416"/>
      <c r="E27" s="416"/>
      <c r="F27" s="417" t="s">
        <v>118</v>
      </c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439"/>
      <c r="W27" s="439"/>
      <c r="X27" s="439"/>
      <c r="Y27" s="439"/>
      <c r="Z27" s="439"/>
      <c r="AA27" s="439"/>
      <c r="AB27" s="439"/>
      <c r="AC27" s="439"/>
      <c r="AD27" s="439"/>
      <c r="AE27" s="439"/>
      <c r="AF27" s="439"/>
      <c r="AG27" s="439"/>
      <c r="AH27" s="439"/>
      <c r="AI27" s="439"/>
      <c r="AJ27" s="439"/>
      <c r="AK27" s="439"/>
      <c r="AL27" s="439"/>
      <c r="AM27" s="439"/>
      <c r="AN27" s="454" t="s">
        <v>26</v>
      </c>
      <c r="AO27" s="439"/>
      <c r="AP27" s="439"/>
      <c r="AQ27" s="439"/>
      <c r="AR27" s="439"/>
      <c r="AS27" s="439"/>
      <c r="AT27" s="439"/>
      <c r="AU27" s="439"/>
      <c r="AV27" s="470"/>
      <c r="AW27" s="386"/>
    </row>
    <row r="28" ht="3.75" customHeight="1" spans="1:49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</row>
  </sheetData>
  <mergeCells count="95">
    <mergeCell ref="B1:AV1"/>
    <mergeCell ref="B2:AV2"/>
    <mergeCell ref="B3:I3"/>
    <mergeCell ref="J3:AO3"/>
    <mergeCell ref="AP3:AV3"/>
    <mergeCell ref="B4:K4"/>
    <mergeCell ref="L4:Z4"/>
    <mergeCell ref="AA4:AE4"/>
    <mergeCell ref="AF4:AV4"/>
    <mergeCell ref="B5:K5"/>
    <mergeCell ref="L5:Z5"/>
    <mergeCell ref="AA5:AE5"/>
    <mergeCell ref="AF5:AV5"/>
    <mergeCell ref="B6:K6"/>
    <mergeCell ref="L6:Z6"/>
    <mergeCell ref="AA6:AE6"/>
    <mergeCell ref="AF6:AM6"/>
    <mergeCell ref="AO6:AV6"/>
    <mergeCell ref="B7:E7"/>
    <mergeCell ref="F7:K7"/>
    <mergeCell ref="L7:V7"/>
    <mergeCell ref="W7:AP7"/>
    <mergeCell ref="AQ7:AS7"/>
    <mergeCell ref="AT7:AV7"/>
    <mergeCell ref="L8:V8"/>
    <mergeCell ref="L9:V9"/>
    <mergeCell ref="D10:E10"/>
    <mergeCell ref="F10:K10"/>
    <mergeCell ref="L10:V10"/>
    <mergeCell ref="W10:AP10"/>
    <mergeCell ref="AQ10:AS10"/>
    <mergeCell ref="AT10:AV10"/>
    <mergeCell ref="D11:E11"/>
    <mergeCell ref="F11:K11"/>
    <mergeCell ref="L11:V11"/>
    <mergeCell ref="W11:AP11"/>
    <mergeCell ref="AQ11:AS11"/>
    <mergeCell ref="AT11:AV11"/>
    <mergeCell ref="L12:V12"/>
    <mergeCell ref="L13:V13"/>
    <mergeCell ref="L14:V14"/>
    <mergeCell ref="L15:V15"/>
    <mergeCell ref="L16:V16"/>
    <mergeCell ref="L17:V17"/>
    <mergeCell ref="F18:AG18"/>
    <mergeCell ref="AH18:AK18"/>
    <mergeCell ref="AL18:AV18"/>
    <mergeCell ref="F19:M19"/>
    <mergeCell ref="N19:R19"/>
    <mergeCell ref="S19:AV19"/>
    <mergeCell ref="F20:P20"/>
    <mergeCell ref="Q20:AI20"/>
    <mergeCell ref="AJ20:AV20"/>
    <mergeCell ref="F21:AV21"/>
    <mergeCell ref="F22:AE22"/>
    <mergeCell ref="AF22:AM22"/>
    <mergeCell ref="AN22:AV22"/>
    <mergeCell ref="F23:AK23"/>
    <mergeCell ref="AL23:AO23"/>
    <mergeCell ref="AP23:AV23"/>
    <mergeCell ref="F24:P24"/>
    <mergeCell ref="Q24:U24"/>
    <mergeCell ref="V24:AV24"/>
    <mergeCell ref="F25:P25"/>
    <mergeCell ref="Q25:AI25"/>
    <mergeCell ref="AJ25:AV25"/>
    <mergeCell ref="F26:AV26"/>
    <mergeCell ref="F27:AE27"/>
    <mergeCell ref="AF27:AM27"/>
    <mergeCell ref="AN27:AV27"/>
    <mergeCell ref="B28:AV28"/>
    <mergeCell ref="B8:C10"/>
    <mergeCell ref="D8:E9"/>
    <mergeCell ref="F8:K9"/>
    <mergeCell ref="W8:AP9"/>
    <mergeCell ref="AQ8:AS9"/>
    <mergeCell ref="AT8:AV9"/>
    <mergeCell ref="B11:C17"/>
    <mergeCell ref="D12:E13"/>
    <mergeCell ref="F12:K13"/>
    <mergeCell ref="W12:AP13"/>
    <mergeCell ref="AQ12:AS13"/>
    <mergeCell ref="AT12:AV13"/>
    <mergeCell ref="D14:E17"/>
    <mergeCell ref="F14:G17"/>
    <mergeCell ref="H14:K15"/>
    <mergeCell ref="W14:AP15"/>
    <mergeCell ref="AQ14:AS15"/>
    <mergeCell ref="AT14:AV15"/>
    <mergeCell ref="H16:K17"/>
    <mergeCell ref="W16:AP17"/>
    <mergeCell ref="AQ16:AS17"/>
    <mergeCell ref="AT16:AV17"/>
    <mergeCell ref="B18:E22"/>
    <mergeCell ref="B23:E27"/>
  </mergeCells>
  <pageMargins left="0.75" right="0.75" top="1" bottom="1" header="0.5" footer="0.5"/>
  <pageSetup paperSize="9" scale="83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W29"/>
  <sheetViews>
    <sheetView topLeftCell="J17" workbookViewId="0">
      <selection activeCell="N21" sqref="N21:R21"/>
    </sheetView>
  </sheetViews>
  <sheetFormatPr defaultColWidth="9.14285714285714" defaultRowHeight="12"/>
  <cols>
    <col min="1" max="1" width="0.714285714285714" customWidth="1"/>
    <col min="2" max="5" width="1.71428571428571" customWidth="1"/>
    <col min="6" max="9" width="2.14285714285714" customWidth="1"/>
    <col min="10" max="13" width="2.28571428571429" customWidth="1"/>
    <col min="14" max="38" width="2.14285714285714" customWidth="1"/>
    <col min="39" max="48" width="2.28571428571429" customWidth="1"/>
  </cols>
  <sheetData>
    <row r="1" ht="3.75" customHeight="1" spans="1:4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</row>
    <row r="2" ht="31.5" customHeight="1" spans="1:49">
      <c r="A2" s="273"/>
      <c r="B2" s="471" t="s">
        <v>251</v>
      </c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472"/>
      <c r="AC2" s="472"/>
      <c r="AD2" s="472"/>
      <c r="AE2" s="472"/>
      <c r="AF2" s="472"/>
      <c r="AG2" s="472"/>
      <c r="AH2" s="472"/>
      <c r="AI2" s="472"/>
      <c r="AJ2" s="472"/>
      <c r="AK2" s="472"/>
      <c r="AL2" s="472"/>
      <c r="AM2" s="472"/>
      <c r="AN2" s="472"/>
      <c r="AO2" s="472"/>
      <c r="AP2" s="472"/>
      <c r="AQ2" s="472"/>
      <c r="AR2" s="472"/>
      <c r="AS2" s="472"/>
      <c r="AT2" s="472"/>
      <c r="AU2" s="472"/>
      <c r="AV2" s="472"/>
      <c r="AW2" s="273"/>
    </row>
    <row r="3" ht="23.25" customHeight="1" spans="1:49">
      <c r="A3" s="273"/>
      <c r="B3" s="405" t="s">
        <v>274</v>
      </c>
      <c r="C3" s="406"/>
      <c r="D3" s="406"/>
      <c r="E3" s="406"/>
      <c r="F3" s="406"/>
      <c r="G3" s="406"/>
      <c r="H3" s="406"/>
      <c r="I3" s="406"/>
      <c r="J3" s="419" t="s">
        <v>275</v>
      </c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05"/>
      <c r="AP3" s="455" t="s">
        <v>216</v>
      </c>
      <c r="AQ3" s="455"/>
      <c r="AR3" s="455"/>
      <c r="AS3" s="455"/>
      <c r="AT3" s="455"/>
      <c r="AU3" s="455"/>
      <c r="AV3" s="455"/>
      <c r="AW3" s="273"/>
    </row>
    <row r="4" ht="28.5" customHeight="1" spans="1:49">
      <c r="A4" s="335"/>
      <c r="B4" s="276" t="s">
        <v>95</v>
      </c>
      <c r="C4" s="277"/>
      <c r="D4" s="277"/>
      <c r="E4" s="277"/>
      <c r="F4" s="277"/>
      <c r="G4" s="277"/>
      <c r="H4" s="277"/>
      <c r="I4" s="277"/>
      <c r="J4" s="277"/>
      <c r="K4" s="277"/>
      <c r="L4" s="420" t="s">
        <v>127</v>
      </c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277" t="s">
        <v>128</v>
      </c>
      <c r="AB4" s="277"/>
      <c r="AC4" s="277"/>
      <c r="AD4" s="277"/>
      <c r="AE4" s="277"/>
      <c r="AF4" s="440"/>
      <c r="AG4" s="440"/>
      <c r="AH4" s="440"/>
      <c r="AI4" s="440"/>
      <c r="AJ4" s="440"/>
      <c r="AK4" s="440"/>
      <c r="AL4" s="440"/>
      <c r="AM4" s="440"/>
      <c r="AN4" s="440"/>
      <c r="AO4" s="440"/>
      <c r="AP4" s="440"/>
      <c r="AQ4" s="440"/>
      <c r="AR4" s="440"/>
      <c r="AS4" s="440"/>
      <c r="AT4" s="440"/>
      <c r="AU4" s="440"/>
      <c r="AV4" s="456"/>
      <c r="AW4" s="386"/>
    </row>
    <row r="5" ht="27.75" customHeight="1" spans="1:49">
      <c r="A5" s="335"/>
      <c r="B5" s="278" t="s">
        <v>97</v>
      </c>
      <c r="C5" s="279"/>
      <c r="D5" s="279"/>
      <c r="E5" s="279"/>
      <c r="F5" s="279"/>
      <c r="G5" s="279"/>
      <c r="H5" s="279"/>
      <c r="I5" s="279"/>
      <c r="J5" s="279"/>
      <c r="K5" s="279"/>
      <c r="L5" s="421" t="s">
        <v>217</v>
      </c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279" t="s">
        <v>98</v>
      </c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458"/>
      <c r="AW5" s="386"/>
    </row>
    <row r="6" ht="27.75" customHeight="1" spans="1:49">
      <c r="A6" s="335"/>
      <c r="B6" s="278" t="s">
        <v>100</v>
      </c>
      <c r="C6" s="279"/>
      <c r="D6" s="279"/>
      <c r="E6" s="279"/>
      <c r="F6" s="279"/>
      <c r="G6" s="279"/>
      <c r="H6" s="279"/>
      <c r="I6" s="279"/>
      <c r="J6" s="279"/>
      <c r="K6" s="279"/>
      <c r="L6" s="422" t="s">
        <v>254</v>
      </c>
      <c r="M6" s="423"/>
      <c r="N6" s="423"/>
      <c r="O6" s="423"/>
      <c r="P6" s="423"/>
      <c r="Q6" s="423"/>
      <c r="R6" s="423"/>
      <c r="S6" s="423"/>
      <c r="T6" s="431"/>
      <c r="U6" s="421"/>
      <c r="V6" s="421"/>
      <c r="W6" s="421"/>
      <c r="X6" s="421"/>
      <c r="Y6" s="421"/>
      <c r="Z6" s="421"/>
      <c r="AA6" s="279" t="s">
        <v>102</v>
      </c>
      <c r="AB6" s="279"/>
      <c r="AC6" s="279"/>
      <c r="AD6" s="279"/>
      <c r="AE6" s="279"/>
      <c r="AF6" s="478" t="s">
        <v>255</v>
      </c>
      <c r="AG6" s="279"/>
      <c r="AH6" s="279"/>
      <c r="AI6" s="279"/>
      <c r="AJ6" s="279"/>
      <c r="AK6" s="279"/>
      <c r="AL6" s="279"/>
      <c r="AM6" s="300"/>
      <c r="AN6" s="301" t="s">
        <v>104</v>
      </c>
      <c r="AO6" s="481" t="s">
        <v>26</v>
      </c>
      <c r="AP6" s="281"/>
      <c r="AQ6" s="279"/>
      <c r="AR6" s="279"/>
      <c r="AS6" s="279"/>
      <c r="AT6" s="279"/>
      <c r="AU6" s="279"/>
      <c r="AV6" s="458"/>
      <c r="AW6" s="386"/>
    </row>
    <row r="7" ht="28.5" customHeight="1" spans="1:49">
      <c r="A7" s="335"/>
      <c r="B7" s="278" t="s">
        <v>50</v>
      </c>
      <c r="C7" s="279"/>
      <c r="D7" s="279"/>
      <c r="E7" s="279"/>
      <c r="F7" s="279" t="s">
        <v>133</v>
      </c>
      <c r="G7" s="279"/>
      <c r="H7" s="279"/>
      <c r="I7" s="279"/>
      <c r="J7" s="279"/>
      <c r="K7" s="279"/>
      <c r="L7" s="279" t="s">
        <v>134</v>
      </c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279" t="s">
        <v>135</v>
      </c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279" t="s">
        <v>136</v>
      </c>
      <c r="AR7" s="279"/>
      <c r="AS7" s="279"/>
      <c r="AT7" s="279" t="s">
        <v>137</v>
      </c>
      <c r="AU7" s="279"/>
      <c r="AV7" s="458"/>
      <c r="AW7" s="386"/>
    </row>
    <row r="8" ht="31.5" customHeight="1" spans="1:49">
      <c r="A8" s="335"/>
      <c r="B8" s="278" t="s">
        <v>219</v>
      </c>
      <c r="C8" s="279"/>
      <c r="D8" s="279">
        <v>1</v>
      </c>
      <c r="E8" s="279"/>
      <c r="F8" s="279" t="s">
        <v>276</v>
      </c>
      <c r="G8" s="279"/>
      <c r="H8" s="279"/>
      <c r="I8" s="279"/>
      <c r="J8" s="279"/>
      <c r="K8" s="279"/>
      <c r="L8" s="293" t="s">
        <v>277</v>
      </c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6"/>
      <c r="X8" s="476"/>
      <c r="Y8" s="476"/>
      <c r="Z8" s="477" t="s">
        <v>278</v>
      </c>
      <c r="AA8" s="479"/>
      <c r="AB8" s="479"/>
      <c r="AC8" s="479"/>
      <c r="AD8" s="479"/>
      <c r="AE8" s="479"/>
      <c r="AF8" s="479"/>
      <c r="AG8" s="479"/>
      <c r="AH8" s="479"/>
      <c r="AI8" s="479"/>
      <c r="AJ8" s="479"/>
      <c r="AK8" s="479"/>
      <c r="AL8" s="479"/>
      <c r="AM8" s="479"/>
      <c r="AN8" s="479"/>
      <c r="AO8" s="479"/>
      <c r="AP8" s="479"/>
      <c r="AQ8" s="479" t="s">
        <v>129</v>
      </c>
      <c r="AR8" s="479"/>
      <c r="AS8" s="479"/>
      <c r="AT8" s="460">
        <v>1</v>
      </c>
      <c r="AU8" s="460"/>
      <c r="AV8" s="461"/>
      <c r="AW8" s="386"/>
    </row>
    <row r="9" ht="32.25" customHeight="1" spans="1:49">
      <c r="A9" s="335"/>
      <c r="B9" s="278"/>
      <c r="C9" s="279"/>
      <c r="D9" s="279"/>
      <c r="E9" s="279"/>
      <c r="F9" s="279"/>
      <c r="G9" s="279"/>
      <c r="H9" s="279"/>
      <c r="I9" s="279"/>
      <c r="J9" s="279"/>
      <c r="K9" s="279"/>
      <c r="L9" s="474"/>
      <c r="M9" s="474"/>
      <c r="N9" s="474"/>
      <c r="O9" s="474"/>
      <c r="P9" s="474"/>
      <c r="Q9" s="474"/>
      <c r="R9" s="474"/>
      <c r="S9" s="474"/>
      <c r="T9" s="474"/>
      <c r="U9" s="474"/>
      <c r="V9" s="474"/>
      <c r="W9" s="475"/>
      <c r="X9" s="475"/>
      <c r="Y9" s="475"/>
      <c r="Z9" s="479"/>
      <c r="AA9" s="479"/>
      <c r="AB9" s="479"/>
      <c r="AC9" s="479"/>
      <c r="AD9" s="479"/>
      <c r="AE9" s="479"/>
      <c r="AF9" s="479"/>
      <c r="AG9" s="479"/>
      <c r="AH9" s="479"/>
      <c r="AI9" s="479"/>
      <c r="AJ9" s="479"/>
      <c r="AK9" s="479"/>
      <c r="AL9" s="479"/>
      <c r="AM9" s="479"/>
      <c r="AN9" s="479"/>
      <c r="AO9" s="479"/>
      <c r="AP9" s="479"/>
      <c r="AQ9" s="479"/>
      <c r="AR9" s="479"/>
      <c r="AS9" s="479"/>
      <c r="AT9" s="460"/>
      <c r="AU9" s="460"/>
      <c r="AV9" s="461"/>
      <c r="AW9" s="386"/>
    </row>
    <row r="10" ht="33" customHeight="1" spans="1:49">
      <c r="A10" s="335"/>
      <c r="B10" s="278"/>
      <c r="C10" s="279"/>
      <c r="D10" s="279">
        <v>2</v>
      </c>
      <c r="E10" s="279"/>
      <c r="F10" s="279" t="s">
        <v>279</v>
      </c>
      <c r="G10" s="279"/>
      <c r="H10" s="279"/>
      <c r="I10" s="279"/>
      <c r="J10" s="279"/>
      <c r="K10" s="279"/>
      <c r="L10" s="397" t="s">
        <v>280</v>
      </c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312"/>
      <c r="X10" s="312"/>
      <c r="Y10" s="312"/>
      <c r="Z10" s="480" t="s">
        <v>281</v>
      </c>
      <c r="AA10" s="480"/>
      <c r="AB10" s="480"/>
      <c r="AC10" s="480"/>
      <c r="AD10" s="480"/>
      <c r="AE10" s="480"/>
      <c r="AF10" s="480"/>
      <c r="AG10" s="480"/>
      <c r="AH10" s="480"/>
      <c r="AI10" s="480"/>
      <c r="AJ10" s="480"/>
      <c r="AK10" s="480"/>
      <c r="AL10" s="480"/>
      <c r="AM10" s="480"/>
      <c r="AN10" s="480"/>
      <c r="AO10" s="480"/>
      <c r="AP10" s="480"/>
      <c r="AQ10" s="480" t="s">
        <v>129</v>
      </c>
      <c r="AR10" s="480"/>
      <c r="AS10" s="480"/>
      <c r="AT10" s="462">
        <v>1</v>
      </c>
      <c r="AU10" s="463"/>
      <c r="AV10" s="464"/>
      <c r="AW10" s="386"/>
    </row>
    <row r="11" ht="33" customHeight="1" spans="1:49">
      <c r="A11" s="335"/>
      <c r="B11" s="278"/>
      <c r="C11" s="279"/>
      <c r="D11" s="279"/>
      <c r="E11" s="279"/>
      <c r="F11" s="279"/>
      <c r="G11" s="279"/>
      <c r="H11" s="279"/>
      <c r="I11" s="279"/>
      <c r="J11" s="279"/>
      <c r="K11" s="279"/>
      <c r="L11" s="397" t="s">
        <v>282</v>
      </c>
      <c r="M11" s="407"/>
      <c r="N11" s="407"/>
      <c r="O11" s="407"/>
      <c r="P11" s="407"/>
      <c r="Q11" s="407"/>
      <c r="R11" s="407"/>
      <c r="S11" s="407"/>
      <c r="T11" s="407"/>
      <c r="U11" s="407"/>
      <c r="V11" s="407"/>
      <c r="W11" s="312"/>
      <c r="X11" s="312"/>
      <c r="Y11" s="312"/>
      <c r="Z11" s="479" t="s">
        <v>129</v>
      </c>
      <c r="AA11" s="479"/>
      <c r="AB11" s="479"/>
      <c r="AC11" s="479"/>
      <c r="AD11" s="479"/>
      <c r="AE11" s="479"/>
      <c r="AF11" s="479"/>
      <c r="AG11" s="479"/>
      <c r="AH11" s="479"/>
      <c r="AI11" s="479"/>
      <c r="AJ11" s="479"/>
      <c r="AK11" s="479"/>
      <c r="AL11" s="479"/>
      <c r="AM11" s="479"/>
      <c r="AN11" s="479"/>
      <c r="AO11" s="479"/>
      <c r="AP11" s="479"/>
      <c r="AQ11" s="479" t="s">
        <v>129</v>
      </c>
      <c r="AR11" s="479"/>
      <c r="AS11" s="479"/>
      <c r="AT11" s="482" t="s">
        <v>129</v>
      </c>
      <c r="AU11" s="479"/>
      <c r="AV11" s="483"/>
      <c r="AW11" s="386"/>
    </row>
    <row r="12" ht="33" customHeight="1" spans="1:49">
      <c r="A12" s="335"/>
      <c r="B12" s="278"/>
      <c r="C12" s="279"/>
      <c r="D12" s="279"/>
      <c r="E12" s="279"/>
      <c r="F12" s="279"/>
      <c r="G12" s="279"/>
      <c r="H12" s="279"/>
      <c r="I12" s="279"/>
      <c r="J12" s="279"/>
      <c r="K12" s="279"/>
      <c r="L12" s="424" t="s">
        <v>283</v>
      </c>
      <c r="M12" s="407"/>
      <c r="N12" s="407"/>
      <c r="O12" s="407"/>
      <c r="P12" s="407"/>
      <c r="Q12" s="407"/>
      <c r="R12" s="407"/>
      <c r="S12" s="407"/>
      <c r="T12" s="407"/>
      <c r="U12" s="407"/>
      <c r="V12" s="407"/>
      <c r="W12" s="312"/>
      <c r="X12" s="312"/>
      <c r="Y12" s="312"/>
      <c r="Z12" s="480" t="s">
        <v>284</v>
      </c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480"/>
      <c r="AN12" s="480"/>
      <c r="AO12" s="480"/>
      <c r="AP12" s="480"/>
      <c r="AQ12" s="480">
        <v>3</v>
      </c>
      <c r="AR12" s="480"/>
      <c r="AS12" s="480"/>
      <c r="AT12" s="462">
        <v>1</v>
      </c>
      <c r="AU12" s="463"/>
      <c r="AV12" s="464"/>
      <c r="AW12" s="386"/>
    </row>
    <row r="13" ht="33" customHeight="1" spans="1:49">
      <c r="A13" s="335"/>
      <c r="B13" s="278"/>
      <c r="C13" s="279"/>
      <c r="D13" s="279"/>
      <c r="E13" s="279"/>
      <c r="F13" s="279"/>
      <c r="G13" s="279"/>
      <c r="H13" s="279"/>
      <c r="I13" s="279"/>
      <c r="J13" s="279"/>
      <c r="K13" s="279"/>
      <c r="L13" s="397" t="s">
        <v>285</v>
      </c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312"/>
      <c r="X13" s="312"/>
      <c r="Y13" s="312"/>
      <c r="Z13" s="479" t="s">
        <v>129</v>
      </c>
      <c r="AA13" s="479"/>
      <c r="AB13" s="479"/>
      <c r="AC13" s="479"/>
      <c r="AD13" s="479"/>
      <c r="AE13" s="479"/>
      <c r="AF13" s="479"/>
      <c r="AG13" s="479"/>
      <c r="AH13" s="479"/>
      <c r="AI13" s="479"/>
      <c r="AJ13" s="479"/>
      <c r="AK13" s="479"/>
      <c r="AL13" s="479"/>
      <c r="AM13" s="479"/>
      <c r="AN13" s="479"/>
      <c r="AO13" s="479"/>
      <c r="AP13" s="479"/>
      <c r="AQ13" s="479" t="s">
        <v>129</v>
      </c>
      <c r="AR13" s="479"/>
      <c r="AS13" s="479"/>
      <c r="AT13" s="482" t="s">
        <v>129</v>
      </c>
      <c r="AU13" s="479"/>
      <c r="AV13" s="483"/>
      <c r="AW13" s="386"/>
    </row>
    <row r="14" ht="33.75" customHeight="1" spans="1:49">
      <c r="A14" s="335"/>
      <c r="B14" s="278"/>
      <c r="C14" s="279"/>
      <c r="D14" s="279"/>
      <c r="E14" s="279"/>
      <c r="F14" s="279"/>
      <c r="G14" s="279"/>
      <c r="H14" s="279"/>
      <c r="I14" s="279"/>
      <c r="J14" s="279"/>
      <c r="K14" s="279"/>
      <c r="L14" s="397" t="s">
        <v>286</v>
      </c>
      <c r="M14" s="407"/>
      <c r="N14" s="407"/>
      <c r="O14" s="407"/>
      <c r="P14" s="407"/>
      <c r="Q14" s="407"/>
      <c r="R14" s="407"/>
      <c r="S14" s="407"/>
      <c r="T14" s="407"/>
      <c r="U14" s="407"/>
      <c r="V14" s="407"/>
      <c r="W14" s="312"/>
      <c r="X14" s="312"/>
      <c r="Y14" s="312"/>
      <c r="Z14" s="479" t="s">
        <v>129</v>
      </c>
      <c r="AA14" s="479"/>
      <c r="AB14" s="479"/>
      <c r="AC14" s="479"/>
      <c r="AD14" s="479"/>
      <c r="AE14" s="479"/>
      <c r="AF14" s="479"/>
      <c r="AG14" s="479"/>
      <c r="AH14" s="479"/>
      <c r="AI14" s="479"/>
      <c r="AJ14" s="479"/>
      <c r="AK14" s="479"/>
      <c r="AL14" s="479"/>
      <c r="AM14" s="479"/>
      <c r="AN14" s="479"/>
      <c r="AO14" s="479"/>
      <c r="AP14" s="479"/>
      <c r="AQ14" s="479" t="s">
        <v>129</v>
      </c>
      <c r="AR14" s="479"/>
      <c r="AS14" s="479"/>
      <c r="AT14" s="482" t="s">
        <v>129</v>
      </c>
      <c r="AU14" s="479"/>
      <c r="AV14" s="483"/>
      <c r="AW14" s="386"/>
    </row>
    <row r="15" ht="33" customHeight="1" spans="1:49">
      <c r="A15" s="335"/>
      <c r="B15" s="278"/>
      <c r="C15" s="279"/>
      <c r="D15" s="279">
        <v>3</v>
      </c>
      <c r="E15" s="279"/>
      <c r="F15" s="397" t="s">
        <v>287</v>
      </c>
      <c r="G15" s="407"/>
      <c r="H15" s="407"/>
      <c r="I15" s="407"/>
      <c r="J15" s="407"/>
      <c r="K15" s="407"/>
      <c r="L15" s="293" t="s">
        <v>288</v>
      </c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9" t="s">
        <v>129</v>
      </c>
      <c r="AA15" s="479"/>
      <c r="AB15" s="479"/>
      <c r="AC15" s="479"/>
      <c r="AD15" s="479"/>
      <c r="AE15" s="479"/>
      <c r="AF15" s="479"/>
      <c r="AG15" s="479"/>
      <c r="AH15" s="479"/>
      <c r="AI15" s="479"/>
      <c r="AJ15" s="479"/>
      <c r="AK15" s="479"/>
      <c r="AL15" s="479"/>
      <c r="AM15" s="479"/>
      <c r="AN15" s="479"/>
      <c r="AO15" s="479"/>
      <c r="AP15" s="479"/>
      <c r="AQ15" s="479" t="s">
        <v>129</v>
      </c>
      <c r="AR15" s="479"/>
      <c r="AS15" s="479"/>
      <c r="AT15" s="482" t="s">
        <v>129</v>
      </c>
      <c r="AU15" s="479"/>
      <c r="AV15" s="483"/>
      <c r="AW15" s="386"/>
    </row>
    <row r="16" ht="33" customHeight="1" spans="1:49">
      <c r="A16" s="335"/>
      <c r="B16" s="278" t="s">
        <v>236</v>
      </c>
      <c r="C16" s="279"/>
      <c r="D16" s="279">
        <v>1</v>
      </c>
      <c r="E16" s="279"/>
      <c r="F16" s="397" t="s">
        <v>289</v>
      </c>
      <c r="G16" s="407"/>
      <c r="H16" s="407"/>
      <c r="I16" s="407"/>
      <c r="J16" s="407"/>
      <c r="K16" s="407"/>
      <c r="L16" s="279" t="s">
        <v>290</v>
      </c>
      <c r="M16" s="312"/>
      <c r="N16" s="312"/>
      <c r="O16" s="312"/>
      <c r="P16" s="312"/>
      <c r="Q16" s="312"/>
      <c r="R16" s="477" t="s">
        <v>291</v>
      </c>
      <c r="S16" s="312"/>
      <c r="T16" s="312"/>
      <c r="U16" s="312"/>
      <c r="V16" s="312"/>
      <c r="W16" s="312"/>
      <c r="X16" s="312"/>
      <c r="Y16" s="312"/>
      <c r="Z16" s="480" t="s">
        <v>292</v>
      </c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480"/>
      <c r="AN16" s="480"/>
      <c r="AO16" s="480"/>
      <c r="AP16" s="480"/>
      <c r="AQ16" s="480">
        <v>6</v>
      </c>
      <c r="AR16" s="480"/>
      <c r="AS16" s="480"/>
      <c r="AT16" s="462">
        <v>1</v>
      </c>
      <c r="AU16" s="463"/>
      <c r="AV16" s="464"/>
      <c r="AW16" s="386"/>
    </row>
    <row r="17" ht="33" customHeight="1" spans="1:49">
      <c r="A17" s="335"/>
      <c r="B17" s="278"/>
      <c r="C17" s="279"/>
      <c r="D17" s="279"/>
      <c r="E17" s="279"/>
      <c r="F17" s="407"/>
      <c r="G17" s="407"/>
      <c r="H17" s="407"/>
      <c r="I17" s="407"/>
      <c r="J17" s="407"/>
      <c r="K17" s="407"/>
      <c r="L17" s="279" t="s">
        <v>293</v>
      </c>
      <c r="M17" s="312"/>
      <c r="N17" s="312"/>
      <c r="O17" s="312"/>
      <c r="P17" s="312"/>
      <c r="Q17" s="312"/>
      <c r="R17" s="477" t="s">
        <v>294</v>
      </c>
      <c r="S17" s="312"/>
      <c r="T17" s="312"/>
      <c r="U17" s="312"/>
      <c r="V17" s="312"/>
      <c r="W17" s="312"/>
      <c r="X17" s="312"/>
      <c r="Y17" s="312"/>
      <c r="Z17" s="480" t="s">
        <v>295</v>
      </c>
      <c r="AA17" s="480"/>
      <c r="AB17" s="480"/>
      <c r="AC17" s="480"/>
      <c r="AD17" s="480"/>
      <c r="AE17" s="480"/>
      <c r="AF17" s="480"/>
      <c r="AG17" s="480"/>
      <c r="AH17" s="480"/>
      <c r="AI17" s="480"/>
      <c r="AJ17" s="480"/>
      <c r="AK17" s="480"/>
      <c r="AL17" s="480"/>
      <c r="AM17" s="480"/>
      <c r="AN17" s="480"/>
      <c r="AO17" s="480"/>
      <c r="AP17" s="480"/>
      <c r="AQ17" s="480">
        <v>6</v>
      </c>
      <c r="AR17" s="480"/>
      <c r="AS17" s="480"/>
      <c r="AT17" s="462">
        <v>1</v>
      </c>
      <c r="AU17" s="463"/>
      <c r="AV17" s="464"/>
      <c r="AW17" s="386"/>
    </row>
    <row r="18" ht="37.5" customHeight="1" spans="1:49">
      <c r="A18" s="335"/>
      <c r="B18" s="278"/>
      <c r="C18" s="279"/>
      <c r="D18" s="279">
        <v>2</v>
      </c>
      <c r="E18" s="279"/>
      <c r="F18" s="279" t="s">
        <v>296</v>
      </c>
      <c r="G18" s="279"/>
      <c r="H18" s="279"/>
      <c r="I18" s="279"/>
      <c r="J18" s="279"/>
      <c r="K18" s="279"/>
      <c r="L18" s="293" t="s">
        <v>297</v>
      </c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9" t="s">
        <v>298</v>
      </c>
      <c r="AA18" s="479"/>
      <c r="AB18" s="479"/>
      <c r="AC18" s="479"/>
      <c r="AD18" s="479"/>
      <c r="AE18" s="479"/>
      <c r="AF18" s="479"/>
      <c r="AG18" s="479"/>
      <c r="AH18" s="479"/>
      <c r="AI18" s="479"/>
      <c r="AJ18" s="479"/>
      <c r="AK18" s="479"/>
      <c r="AL18" s="479"/>
      <c r="AM18" s="479"/>
      <c r="AN18" s="479"/>
      <c r="AO18" s="479"/>
      <c r="AP18" s="479"/>
      <c r="AQ18" s="479" t="s">
        <v>129</v>
      </c>
      <c r="AR18" s="479"/>
      <c r="AS18" s="479"/>
      <c r="AT18" s="459">
        <v>0.9</v>
      </c>
      <c r="AU18" s="460"/>
      <c r="AV18" s="461"/>
      <c r="AW18" s="386"/>
    </row>
    <row r="19" ht="27" customHeight="1" spans="1:49">
      <c r="A19" s="335"/>
      <c r="B19" s="278"/>
      <c r="C19" s="279"/>
      <c r="D19" s="279"/>
      <c r="E19" s="279"/>
      <c r="F19" s="279"/>
      <c r="G19" s="279"/>
      <c r="H19" s="279"/>
      <c r="I19" s="279"/>
      <c r="J19" s="279"/>
      <c r="K19" s="279"/>
      <c r="L19" s="475"/>
      <c r="M19" s="475"/>
      <c r="N19" s="475"/>
      <c r="O19" s="475"/>
      <c r="P19" s="475"/>
      <c r="Q19" s="475"/>
      <c r="R19" s="475"/>
      <c r="S19" s="475"/>
      <c r="T19" s="475"/>
      <c r="U19" s="475"/>
      <c r="V19" s="475"/>
      <c r="W19" s="475"/>
      <c r="X19" s="475"/>
      <c r="Y19" s="475"/>
      <c r="Z19" s="479"/>
      <c r="AA19" s="479"/>
      <c r="AB19" s="479"/>
      <c r="AC19" s="479"/>
      <c r="AD19" s="479"/>
      <c r="AE19" s="479"/>
      <c r="AF19" s="479"/>
      <c r="AG19" s="479"/>
      <c r="AH19" s="479"/>
      <c r="AI19" s="479"/>
      <c r="AJ19" s="479"/>
      <c r="AK19" s="479"/>
      <c r="AL19" s="479"/>
      <c r="AM19" s="479"/>
      <c r="AN19" s="479"/>
      <c r="AO19" s="479"/>
      <c r="AP19" s="479"/>
      <c r="AQ19" s="479"/>
      <c r="AR19" s="479"/>
      <c r="AS19" s="479"/>
      <c r="AT19" s="460"/>
      <c r="AU19" s="460"/>
      <c r="AV19" s="461"/>
      <c r="AW19" s="386"/>
    </row>
    <row r="20" ht="18.75" customHeight="1" spans="1:49">
      <c r="A20" s="335"/>
      <c r="B20" s="278" t="s">
        <v>110</v>
      </c>
      <c r="C20" s="279"/>
      <c r="D20" s="279"/>
      <c r="E20" s="279"/>
      <c r="F20" s="284" t="s">
        <v>243</v>
      </c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8"/>
      <c r="AB20" s="408"/>
      <c r="AC20" s="408"/>
      <c r="AD20" s="442"/>
      <c r="AE20" s="408"/>
      <c r="AF20" s="442"/>
      <c r="AG20" s="408"/>
      <c r="AH20" s="448">
        <v>90</v>
      </c>
      <c r="AI20" s="427"/>
      <c r="AJ20" s="427"/>
      <c r="AK20" s="427"/>
      <c r="AL20" s="326" t="s">
        <v>244</v>
      </c>
      <c r="AM20" s="449"/>
      <c r="AN20" s="449"/>
      <c r="AO20" s="449"/>
      <c r="AP20" s="449"/>
      <c r="AQ20" s="449"/>
      <c r="AR20" s="449"/>
      <c r="AS20" s="449"/>
      <c r="AT20" s="449"/>
      <c r="AU20" s="449"/>
      <c r="AV20" s="465"/>
      <c r="AW20" s="386"/>
    </row>
    <row r="21" ht="19.5" customHeight="1" spans="1:49">
      <c r="A21" s="335"/>
      <c r="B21" s="278"/>
      <c r="C21" s="279"/>
      <c r="D21" s="279"/>
      <c r="E21" s="279"/>
      <c r="F21" s="409" t="s">
        <v>245</v>
      </c>
      <c r="G21" s="410"/>
      <c r="H21" s="410"/>
      <c r="I21" s="410"/>
      <c r="J21" s="410"/>
      <c r="K21" s="410"/>
      <c r="L21" s="410"/>
      <c r="M21" s="410"/>
      <c r="N21" s="426" t="s">
        <v>212</v>
      </c>
      <c r="O21" s="426"/>
      <c r="P21" s="426"/>
      <c r="Q21" s="426"/>
      <c r="R21" s="426"/>
      <c r="S21" s="349" t="s">
        <v>115</v>
      </c>
      <c r="T21" s="437"/>
      <c r="U21" s="437"/>
      <c r="V21" s="437"/>
      <c r="W21" s="437"/>
      <c r="X21" s="437"/>
      <c r="Y21" s="437"/>
      <c r="Z21" s="437"/>
      <c r="AA21" s="437"/>
      <c r="AB21" s="437"/>
      <c r="AC21" s="437"/>
      <c r="AD21" s="437"/>
      <c r="AE21" s="437"/>
      <c r="AF21" s="437"/>
      <c r="AG21" s="437"/>
      <c r="AH21" s="449"/>
      <c r="AI21" s="449"/>
      <c r="AJ21" s="449"/>
      <c r="AK21" s="437"/>
      <c r="AL21" s="437"/>
      <c r="AM21" s="437"/>
      <c r="AN21" s="437"/>
      <c r="AO21" s="437"/>
      <c r="AP21" s="437"/>
      <c r="AQ21" s="437"/>
      <c r="AR21" s="437"/>
      <c r="AS21" s="437"/>
      <c r="AT21" s="437"/>
      <c r="AU21" s="452"/>
      <c r="AV21" s="466"/>
      <c r="AW21" s="386"/>
    </row>
    <row r="22" ht="17.25" customHeight="1" spans="1:49">
      <c r="A22" s="335"/>
      <c r="B22" s="278"/>
      <c r="C22" s="279"/>
      <c r="D22" s="279"/>
      <c r="E22" s="279"/>
      <c r="F22" s="409" t="s">
        <v>246</v>
      </c>
      <c r="G22" s="346"/>
      <c r="H22" s="346"/>
      <c r="I22" s="346"/>
      <c r="J22" s="346"/>
      <c r="K22" s="346"/>
      <c r="L22" s="346"/>
      <c r="M22" s="346"/>
      <c r="N22" s="346"/>
      <c r="O22" s="304"/>
      <c r="P22" s="304"/>
      <c r="Q22" s="427" t="s">
        <v>247</v>
      </c>
      <c r="R22" s="427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349" t="s">
        <v>117</v>
      </c>
      <c r="AK22" s="437"/>
      <c r="AL22" s="437"/>
      <c r="AM22" s="437"/>
      <c r="AN22" s="437"/>
      <c r="AO22" s="437"/>
      <c r="AP22" s="437"/>
      <c r="AQ22" s="437"/>
      <c r="AR22" s="437"/>
      <c r="AS22" s="437"/>
      <c r="AT22" s="437"/>
      <c r="AU22" s="437"/>
      <c r="AV22" s="466"/>
      <c r="AW22" s="386"/>
    </row>
    <row r="23" ht="18" customHeight="1" spans="1:49">
      <c r="A23" s="335"/>
      <c r="B23" s="278"/>
      <c r="C23" s="279"/>
      <c r="D23" s="279"/>
      <c r="E23" s="279"/>
      <c r="F23" s="317"/>
      <c r="G23" s="411"/>
      <c r="H23" s="411"/>
      <c r="I23" s="411"/>
      <c r="J23" s="411"/>
      <c r="K23" s="411"/>
      <c r="L23" s="411"/>
      <c r="M23" s="411"/>
      <c r="N23" s="411"/>
      <c r="O23" s="411"/>
      <c r="P23" s="411"/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11"/>
      <c r="AK23" s="411"/>
      <c r="AL23" s="411"/>
      <c r="AM23" s="411"/>
      <c r="AN23" s="411"/>
      <c r="AO23" s="411"/>
      <c r="AP23" s="411"/>
      <c r="AQ23" s="411"/>
      <c r="AR23" s="411"/>
      <c r="AS23" s="411"/>
      <c r="AT23" s="411"/>
      <c r="AU23" s="411"/>
      <c r="AV23" s="467"/>
      <c r="AW23" s="386"/>
    </row>
    <row r="24" ht="19.5" customHeight="1" spans="1:49">
      <c r="A24" s="335"/>
      <c r="B24" s="278"/>
      <c r="C24" s="279"/>
      <c r="D24" s="279"/>
      <c r="E24" s="279"/>
      <c r="F24" s="412" t="s">
        <v>118</v>
      </c>
      <c r="G24" s="288"/>
      <c r="H24" s="28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438"/>
      <c r="W24" s="438"/>
      <c r="X24" s="438"/>
      <c r="Y24" s="438"/>
      <c r="Z24" s="438"/>
      <c r="AA24" s="438"/>
      <c r="AB24" s="438"/>
      <c r="AC24" s="438"/>
      <c r="AD24" s="438"/>
      <c r="AE24" s="438"/>
      <c r="AF24" s="438"/>
      <c r="AG24" s="438"/>
      <c r="AH24" s="438"/>
      <c r="AI24" s="438"/>
      <c r="AJ24" s="438"/>
      <c r="AK24" s="438"/>
      <c r="AL24" s="438"/>
      <c r="AM24" s="438"/>
      <c r="AN24" s="450" t="s">
        <v>26</v>
      </c>
      <c r="AO24" s="438"/>
      <c r="AP24" s="438"/>
      <c r="AQ24" s="438"/>
      <c r="AR24" s="438"/>
      <c r="AS24" s="438"/>
      <c r="AT24" s="438"/>
      <c r="AU24" s="438"/>
      <c r="AV24" s="468"/>
      <c r="AW24" s="386"/>
    </row>
    <row r="25" ht="19.5" customHeight="1" spans="1:49">
      <c r="A25" s="335"/>
      <c r="B25" s="278" t="s">
        <v>119</v>
      </c>
      <c r="C25" s="279"/>
      <c r="D25" s="279"/>
      <c r="E25" s="279"/>
      <c r="F25" s="413" t="s">
        <v>248</v>
      </c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  <c r="X25" s="414"/>
      <c r="Y25" s="414"/>
      <c r="Z25" s="414"/>
      <c r="AA25" s="414"/>
      <c r="AB25" s="414"/>
      <c r="AC25" s="414"/>
      <c r="AD25" s="414"/>
      <c r="AE25" s="414"/>
      <c r="AF25" s="414"/>
      <c r="AG25" s="414"/>
      <c r="AH25" s="451"/>
      <c r="AI25" s="414"/>
      <c r="AJ25" s="414"/>
      <c r="AK25" s="452"/>
      <c r="AL25" s="453"/>
      <c r="AM25" s="429"/>
      <c r="AN25" s="429"/>
      <c r="AO25" s="429"/>
      <c r="AP25" s="346" t="s">
        <v>249</v>
      </c>
      <c r="AQ25" s="410"/>
      <c r="AR25" s="410"/>
      <c r="AS25" s="410"/>
      <c r="AT25" s="410"/>
      <c r="AU25" s="410"/>
      <c r="AV25" s="469"/>
      <c r="AW25" s="386"/>
    </row>
    <row r="26" ht="19.5" customHeight="1" spans="1:49">
      <c r="A26" s="335"/>
      <c r="B26" s="278"/>
      <c r="C26" s="279"/>
      <c r="D26" s="279"/>
      <c r="E26" s="279"/>
      <c r="F26" s="409" t="s">
        <v>250</v>
      </c>
      <c r="G26" s="410"/>
      <c r="H26" s="410"/>
      <c r="I26" s="410"/>
      <c r="J26" s="410"/>
      <c r="K26" s="410"/>
      <c r="L26" s="410"/>
      <c r="M26" s="410"/>
      <c r="N26" s="410"/>
      <c r="O26" s="410"/>
      <c r="P26" s="410"/>
      <c r="Q26" s="429"/>
      <c r="R26" s="429"/>
      <c r="S26" s="429"/>
      <c r="T26" s="429"/>
      <c r="U26" s="429"/>
      <c r="V26" s="349" t="s">
        <v>115</v>
      </c>
      <c r="W26" s="437"/>
      <c r="X26" s="437"/>
      <c r="Y26" s="437"/>
      <c r="Z26" s="437"/>
      <c r="AA26" s="437"/>
      <c r="AB26" s="437"/>
      <c r="AC26" s="437"/>
      <c r="AD26" s="437"/>
      <c r="AE26" s="437"/>
      <c r="AF26" s="437"/>
      <c r="AG26" s="437"/>
      <c r="AH26" s="437"/>
      <c r="AI26" s="437"/>
      <c r="AJ26" s="437"/>
      <c r="AK26" s="437"/>
      <c r="AL26" s="449"/>
      <c r="AM26" s="449"/>
      <c r="AN26" s="449"/>
      <c r="AO26" s="437"/>
      <c r="AP26" s="437"/>
      <c r="AQ26" s="437"/>
      <c r="AR26" s="437"/>
      <c r="AS26" s="437"/>
      <c r="AT26" s="437"/>
      <c r="AU26" s="437"/>
      <c r="AV26" s="466"/>
      <c r="AW26" s="386"/>
    </row>
    <row r="27" ht="18.75" customHeight="1" spans="1:49">
      <c r="A27" s="335"/>
      <c r="B27" s="278"/>
      <c r="C27" s="279"/>
      <c r="D27" s="279"/>
      <c r="E27" s="279"/>
      <c r="F27" s="409" t="s">
        <v>246</v>
      </c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430"/>
      <c r="R27" s="430"/>
      <c r="S27" s="430"/>
      <c r="T27" s="430"/>
      <c r="U27" s="430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349" t="s">
        <v>117</v>
      </c>
      <c r="AK27" s="437"/>
      <c r="AL27" s="437"/>
      <c r="AM27" s="437"/>
      <c r="AN27" s="437"/>
      <c r="AO27" s="437"/>
      <c r="AP27" s="437"/>
      <c r="AQ27" s="437"/>
      <c r="AR27" s="437"/>
      <c r="AS27" s="437"/>
      <c r="AT27" s="437"/>
      <c r="AU27" s="437"/>
      <c r="AV27" s="466"/>
      <c r="AW27" s="386"/>
    </row>
    <row r="28" ht="19.5" customHeight="1" spans="1:49">
      <c r="A28" s="335"/>
      <c r="B28" s="278"/>
      <c r="C28" s="279"/>
      <c r="D28" s="279"/>
      <c r="E28" s="279"/>
      <c r="F28" s="317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11"/>
      <c r="AK28" s="411"/>
      <c r="AL28" s="411"/>
      <c r="AM28" s="411"/>
      <c r="AN28" s="411"/>
      <c r="AO28" s="411"/>
      <c r="AP28" s="411"/>
      <c r="AQ28" s="411"/>
      <c r="AR28" s="411"/>
      <c r="AS28" s="411"/>
      <c r="AT28" s="411"/>
      <c r="AU28" s="411"/>
      <c r="AV28" s="467"/>
      <c r="AW28" s="386"/>
    </row>
    <row r="29" ht="19.5" customHeight="1" spans="1:49">
      <c r="A29" s="335"/>
      <c r="B29" s="415"/>
      <c r="C29" s="416"/>
      <c r="D29" s="416"/>
      <c r="E29" s="416"/>
      <c r="F29" s="417" t="s">
        <v>118</v>
      </c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439"/>
      <c r="W29" s="439"/>
      <c r="X29" s="439"/>
      <c r="Y29" s="439"/>
      <c r="Z29" s="439"/>
      <c r="AA29" s="439"/>
      <c r="AB29" s="439"/>
      <c r="AC29" s="439"/>
      <c r="AD29" s="439"/>
      <c r="AE29" s="439"/>
      <c r="AF29" s="439"/>
      <c r="AG29" s="439"/>
      <c r="AH29" s="439"/>
      <c r="AI29" s="439"/>
      <c r="AJ29" s="439"/>
      <c r="AK29" s="439"/>
      <c r="AL29" s="439"/>
      <c r="AM29" s="439"/>
      <c r="AN29" s="454" t="s">
        <v>26</v>
      </c>
      <c r="AO29" s="439"/>
      <c r="AP29" s="439"/>
      <c r="AQ29" s="439"/>
      <c r="AR29" s="439"/>
      <c r="AS29" s="439"/>
      <c r="AT29" s="439"/>
      <c r="AU29" s="439"/>
      <c r="AV29" s="470"/>
      <c r="AW29" s="386"/>
    </row>
  </sheetData>
  <mergeCells count="107">
    <mergeCell ref="B1:AV1"/>
    <mergeCell ref="B2:AV2"/>
    <mergeCell ref="B3:I3"/>
    <mergeCell ref="J3:AO3"/>
    <mergeCell ref="AP3:AV3"/>
    <mergeCell ref="B4:K4"/>
    <mergeCell ref="L4:Z4"/>
    <mergeCell ref="AA4:AE4"/>
    <mergeCell ref="AF4:AV4"/>
    <mergeCell ref="B5:K5"/>
    <mergeCell ref="L5:Z5"/>
    <mergeCell ref="AA5:AE5"/>
    <mergeCell ref="AF5:AV5"/>
    <mergeCell ref="B6:K6"/>
    <mergeCell ref="L6:Z6"/>
    <mergeCell ref="AA6:AE6"/>
    <mergeCell ref="AF6:AM6"/>
    <mergeCell ref="AO6:AV6"/>
    <mergeCell ref="B7:E7"/>
    <mergeCell ref="F7:K7"/>
    <mergeCell ref="L7:Y7"/>
    <mergeCell ref="Z7:AP7"/>
    <mergeCell ref="AQ7:AS7"/>
    <mergeCell ref="AT7:AV7"/>
    <mergeCell ref="L10:Y10"/>
    <mergeCell ref="Z10:AP10"/>
    <mergeCell ref="AQ10:AS10"/>
    <mergeCell ref="AT10:AV10"/>
    <mergeCell ref="L11:Y11"/>
    <mergeCell ref="Z11:AP11"/>
    <mergeCell ref="AQ11:AS11"/>
    <mergeCell ref="AT11:AV11"/>
    <mergeCell ref="L12:Y12"/>
    <mergeCell ref="Z12:AP12"/>
    <mergeCell ref="AQ12:AS12"/>
    <mergeCell ref="AT12:AV12"/>
    <mergeCell ref="L13:Y13"/>
    <mergeCell ref="Z13:AP13"/>
    <mergeCell ref="AQ13:AS13"/>
    <mergeCell ref="AT13:AV13"/>
    <mergeCell ref="L14:Y14"/>
    <mergeCell ref="Z14:AP14"/>
    <mergeCell ref="AQ14:AS14"/>
    <mergeCell ref="AT14:AV14"/>
    <mergeCell ref="D15:E15"/>
    <mergeCell ref="F15:K15"/>
    <mergeCell ref="L15:Y15"/>
    <mergeCell ref="Z15:AP15"/>
    <mergeCell ref="AQ15:AS15"/>
    <mergeCell ref="AT15:AV15"/>
    <mergeCell ref="L16:Q16"/>
    <mergeCell ref="R16:Y16"/>
    <mergeCell ref="Z16:AP16"/>
    <mergeCell ref="AQ16:AS16"/>
    <mergeCell ref="AT16:AV16"/>
    <mergeCell ref="L17:Q17"/>
    <mergeCell ref="R17:Y17"/>
    <mergeCell ref="Z17:AP17"/>
    <mergeCell ref="AQ17:AS17"/>
    <mergeCell ref="AT17:AV17"/>
    <mergeCell ref="L18:Y18"/>
    <mergeCell ref="L19:Y19"/>
    <mergeCell ref="F20:AG20"/>
    <mergeCell ref="AH20:AK20"/>
    <mergeCell ref="AL20:AV20"/>
    <mergeCell ref="F21:M21"/>
    <mergeCell ref="N21:R21"/>
    <mergeCell ref="S21:AV21"/>
    <mergeCell ref="F22:P22"/>
    <mergeCell ref="Q22:AI22"/>
    <mergeCell ref="AJ22:AV22"/>
    <mergeCell ref="F23:AV23"/>
    <mergeCell ref="F24:AE24"/>
    <mergeCell ref="AF24:AM24"/>
    <mergeCell ref="AN24:AV24"/>
    <mergeCell ref="F25:AK25"/>
    <mergeCell ref="AL25:AO25"/>
    <mergeCell ref="AP25:AV25"/>
    <mergeCell ref="F26:P26"/>
    <mergeCell ref="Q26:U26"/>
    <mergeCell ref="V26:AV26"/>
    <mergeCell ref="F27:P27"/>
    <mergeCell ref="Q27:AI27"/>
    <mergeCell ref="AJ27:AV27"/>
    <mergeCell ref="F28:AV28"/>
    <mergeCell ref="F29:AE29"/>
    <mergeCell ref="AF29:AM29"/>
    <mergeCell ref="AN29:AV29"/>
    <mergeCell ref="B8:C15"/>
    <mergeCell ref="D8:E9"/>
    <mergeCell ref="F8:K9"/>
    <mergeCell ref="L8:Y9"/>
    <mergeCell ref="Z8:AP9"/>
    <mergeCell ref="AQ8:AS9"/>
    <mergeCell ref="AT8:AV9"/>
    <mergeCell ref="D10:E14"/>
    <mergeCell ref="F10:K14"/>
    <mergeCell ref="B16:C19"/>
    <mergeCell ref="D16:E17"/>
    <mergeCell ref="F16:K17"/>
    <mergeCell ref="D18:E19"/>
    <mergeCell ref="F18:K19"/>
    <mergeCell ref="Z18:AP19"/>
    <mergeCell ref="AQ18:AS19"/>
    <mergeCell ref="AT18:AV19"/>
    <mergeCell ref="B20:E24"/>
    <mergeCell ref="B25:E29"/>
  </mergeCells>
  <pageMargins left="0.75" right="0.75" top="1" bottom="1" header="0.5" footer="0.5"/>
  <pageSetup paperSize="9" scale="87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0"/>
  <sheetViews>
    <sheetView topLeftCell="A7" workbookViewId="0">
      <selection activeCell="AZ8" sqref="AZ8"/>
    </sheetView>
  </sheetViews>
  <sheetFormatPr defaultColWidth="9.14285714285714" defaultRowHeight="12"/>
  <cols>
    <col min="1" max="2" width="1.41904761904762" customWidth="1"/>
    <col min="3" max="4" width="4" customWidth="1"/>
    <col min="5" max="41" width="2.14285714285714" customWidth="1"/>
    <col min="42" max="47" width="2.28571428571429" customWidth="1"/>
  </cols>
  <sheetData>
    <row r="1" ht="36" customHeight="1" spans="1:47">
      <c r="A1" s="403"/>
      <c r="B1" s="404"/>
      <c r="C1" s="404"/>
      <c r="D1" s="404"/>
      <c r="E1" s="404"/>
      <c r="F1" s="404"/>
      <c r="G1" s="404"/>
      <c r="H1" s="404"/>
      <c r="I1" s="404"/>
      <c r="J1" s="418" t="s">
        <v>213</v>
      </c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43" t="s">
        <v>93</v>
      </c>
      <c r="AI1" s="444"/>
      <c r="AJ1" s="444"/>
      <c r="AK1" s="445"/>
      <c r="AL1" s="446"/>
      <c r="AM1" s="446"/>
      <c r="AN1" s="446"/>
      <c r="AO1" s="446"/>
      <c r="AP1" s="446"/>
      <c r="AQ1" s="446"/>
      <c r="AR1" s="446"/>
      <c r="AS1" s="446"/>
      <c r="AT1" s="446"/>
      <c r="AU1" s="446"/>
    </row>
    <row r="2" ht="34" customHeight="1" spans="1:47">
      <c r="A2" s="405" t="s">
        <v>299</v>
      </c>
      <c r="B2" s="406"/>
      <c r="C2" s="406"/>
      <c r="D2" s="406"/>
      <c r="E2" s="406"/>
      <c r="F2" s="406"/>
      <c r="G2" s="406"/>
      <c r="H2" s="406"/>
      <c r="I2" s="419" t="s">
        <v>300</v>
      </c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  <c r="V2" s="419"/>
      <c r="W2" s="419"/>
      <c r="X2" s="419"/>
      <c r="Y2" s="419"/>
      <c r="Z2" s="419"/>
      <c r="AA2" s="419"/>
      <c r="AB2" s="419"/>
      <c r="AC2" s="419"/>
      <c r="AD2" s="419"/>
      <c r="AE2" s="419"/>
      <c r="AF2" s="419"/>
      <c r="AG2" s="419"/>
      <c r="AH2" s="419"/>
      <c r="AI2" s="419"/>
      <c r="AJ2" s="419"/>
      <c r="AK2" s="419"/>
      <c r="AL2" s="419"/>
      <c r="AM2" s="419"/>
      <c r="AN2" s="405"/>
      <c r="AO2" s="455" t="s">
        <v>216</v>
      </c>
      <c r="AP2" s="455"/>
      <c r="AQ2" s="455"/>
      <c r="AR2" s="455"/>
      <c r="AS2" s="455"/>
      <c r="AT2" s="455"/>
      <c r="AU2" s="455"/>
    </row>
    <row r="3" ht="36" customHeight="1" spans="1:47">
      <c r="A3" s="276" t="s">
        <v>95</v>
      </c>
      <c r="B3" s="277"/>
      <c r="C3" s="277"/>
      <c r="D3" s="277"/>
      <c r="E3" s="277"/>
      <c r="F3" s="277"/>
      <c r="G3" s="277"/>
      <c r="H3" s="277"/>
      <c r="I3" s="277"/>
      <c r="J3" s="277"/>
      <c r="K3" s="420" t="s">
        <v>127</v>
      </c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277" t="s">
        <v>128</v>
      </c>
      <c r="AA3" s="277"/>
      <c r="AB3" s="277"/>
      <c r="AC3" s="277"/>
      <c r="AD3" s="277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0"/>
      <c r="AQ3" s="440"/>
      <c r="AR3" s="440"/>
      <c r="AS3" s="440"/>
      <c r="AT3" s="440"/>
      <c r="AU3" s="456"/>
    </row>
    <row r="4" ht="33" customHeight="1" spans="1:47">
      <c r="A4" s="278" t="s">
        <v>97</v>
      </c>
      <c r="B4" s="279"/>
      <c r="C4" s="279"/>
      <c r="D4" s="279"/>
      <c r="E4" s="279"/>
      <c r="F4" s="279"/>
      <c r="G4" s="279"/>
      <c r="H4" s="279"/>
      <c r="I4" s="279"/>
      <c r="J4" s="279"/>
      <c r="K4" s="421" t="s">
        <v>217</v>
      </c>
      <c r="L4" s="421"/>
      <c r="M4" s="421"/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421"/>
      <c r="Y4" s="421"/>
      <c r="Z4" s="279" t="s">
        <v>98</v>
      </c>
      <c r="AA4" s="279"/>
      <c r="AB4" s="279"/>
      <c r="AC4" s="279"/>
      <c r="AD4" s="279"/>
      <c r="AE4" s="312" t="s">
        <v>99</v>
      </c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457"/>
    </row>
    <row r="5" ht="42" customHeight="1" spans="1:47">
      <c r="A5" s="278" t="s">
        <v>100</v>
      </c>
      <c r="B5" s="279"/>
      <c r="C5" s="279"/>
      <c r="D5" s="279"/>
      <c r="E5" s="279"/>
      <c r="F5" s="279"/>
      <c r="G5" s="279"/>
      <c r="H5" s="279"/>
      <c r="I5" s="279"/>
      <c r="J5" s="279"/>
      <c r="K5" s="422" t="s">
        <v>254</v>
      </c>
      <c r="L5" s="423"/>
      <c r="M5" s="423"/>
      <c r="N5" s="423"/>
      <c r="O5" s="423"/>
      <c r="P5" s="423"/>
      <c r="Q5" s="423"/>
      <c r="R5" s="423"/>
      <c r="S5" s="431"/>
      <c r="T5" s="421"/>
      <c r="U5" s="421"/>
      <c r="V5" s="421"/>
      <c r="W5" s="421"/>
      <c r="X5" s="421"/>
      <c r="Y5" s="421"/>
      <c r="Z5" s="279" t="s">
        <v>102</v>
      </c>
      <c r="AA5" s="279"/>
      <c r="AB5" s="279"/>
      <c r="AC5" s="279"/>
      <c r="AD5" s="279"/>
      <c r="AE5" s="441" t="s">
        <v>26</v>
      </c>
      <c r="AF5" s="312"/>
      <c r="AG5" s="312"/>
      <c r="AH5" s="312"/>
      <c r="AI5" s="312"/>
      <c r="AJ5" s="312"/>
      <c r="AK5" s="312"/>
      <c r="AL5" s="321"/>
      <c r="AM5" s="301" t="s">
        <v>104</v>
      </c>
      <c r="AN5" s="447" t="s">
        <v>26</v>
      </c>
      <c r="AO5" s="432"/>
      <c r="AP5" s="312"/>
      <c r="AQ5" s="312"/>
      <c r="AR5" s="312"/>
      <c r="AS5" s="312"/>
      <c r="AT5" s="312"/>
      <c r="AU5" s="457"/>
    </row>
    <row r="6" ht="24" customHeight="1" spans="1:47">
      <c r="A6" s="278" t="s">
        <v>50</v>
      </c>
      <c r="B6" s="279"/>
      <c r="C6" s="279"/>
      <c r="D6" s="279"/>
      <c r="E6" s="279" t="s">
        <v>133</v>
      </c>
      <c r="F6" s="279"/>
      <c r="G6" s="279"/>
      <c r="H6" s="279"/>
      <c r="I6" s="279"/>
      <c r="J6" s="279"/>
      <c r="K6" s="279" t="s">
        <v>134</v>
      </c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279" t="s">
        <v>135</v>
      </c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279" t="s">
        <v>136</v>
      </c>
      <c r="AQ6" s="279"/>
      <c r="AR6" s="279"/>
      <c r="AS6" s="279" t="s">
        <v>137</v>
      </c>
      <c r="AT6" s="279"/>
      <c r="AU6" s="458"/>
    </row>
    <row r="7" ht="204" customHeight="1" spans="1:47">
      <c r="A7" s="278" t="s">
        <v>219</v>
      </c>
      <c r="B7" s="279"/>
      <c r="C7" s="279">
        <v>1</v>
      </c>
      <c r="D7" s="279"/>
      <c r="E7" s="397" t="s">
        <v>301</v>
      </c>
      <c r="F7" s="407"/>
      <c r="G7" s="407"/>
      <c r="H7" s="407"/>
      <c r="I7" s="407"/>
      <c r="J7" s="407"/>
      <c r="K7" s="424" t="s">
        <v>302</v>
      </c>
      <c r="L7" s="407"/>
      <c r="M7" s="407"/>
      <c r="N7" s="407"/>
      <c r="O7" s="407"/>
      <c r="P7" s="425"/>
      <c r="Q7" s="322"/>
      <c r="R7" s="322"/>
      <c r="S7" s="322"/>
      <c r="T7" s="322"/>
      <c r="U7" s="432"/>
      <c r="V7" s="433" t="s">
        <v>303</v>
      </c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 t="s">
        <v>129</v>
      </c>
      <c r="AQ7" s="312"/>
      <c r="AR7" s="312"/>
      <c r="AS7" s="459">
        <v>1</v>
      </c>
      <c r="AT7" s="460"/>
      <c r="AU7" s="461"/>
    </row>
    <row r="8" ht="96" customHeight="1" spans="1:47">
      <c r="A8" s="278"/>
      <c r="B8" s="279"/>
      <c r="C8" s="279">
        <v>2</v>
      </c>
      <c r="D8" s="279"/>
      <c r="E8" s="397" t="s">
        <v>304</v>
      </c>
      <c r="F8" s="407"/>
      <c r="G8" s="407"/>
      <c r="H8" s="407"/>
      <c r="I8" s="407"/>
      <c r="J8" s="407"/>
      <c r="K8" s="397" t="s">
        <v>305</v>
      </c>
      <c r="L8" s="407"/>
      <c r="M8" s="407"/>
      <c r="N8" s="407"/>
      <c r="O8" s="407"/>
      <c r="P8" s="425"/>
      <c r="Q8" s="434" t="s">
        <v>306</v>
      </c>
      <c r="R8" s="434"/>
      <c r="S8" s="434"/>
      <c r="T8" s="434"/>
      <c r="U8" s="435"/>
      <c r="V8" s="436" t="s">
        <v>307</v>
      </c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312" t="s">
        <v>129</v>
      </c>
      <c r="AQ8" s="312"/>
      <c r="AR8" s="312"/>
      <c r="AS8" s="462">
        <v>1</v>
      </c>
      <c r="AT8" s="463"/>
      <c r="AU8" s="464"/>
    </row>
    <row r="9" ht="97" customHeight="1" spans="1:47">
      <c r="A9" s="278" t="s">
        <v>236</v>
      </c>
      <c r="B9" s="279"/>
      <c r="C9" s="279">
        <v>1</v>
      </c>
      <c r="D9" s="279"/>
      <c r="E9" s="397" t="s">
        <v>308</v>
      </c>
      <c r="F9" s="407"/>
      <c r="G9" s="407"/>
      <c r="H9" s="407"/>
      <c r="I9" s="407"/>
      <c r="J9" s="407"/>
      <c r="K9" s="397" t="s">
        <v>309</v>
      </c>
      <c r="L9" s="407"/>
      <c r="M9" s="407"/>
      <c r="N9" s="407"/>
      <c r="O9" s="407"/>
      <c r="P9" s="425"/>
      <c r="Q9" s="322"/>
      <c r="R9" s="322"/>
      <c r="S9" s="322"/>
      <c r="T9" s="322"/>
      <c r="U9" s="432"/>
      <c r="V9" s="312" t="s">
        <v>310</v>
      </c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 t="s">
        <v>129</v>
      </c>
      <c r="AQ9" s="312"/>
      <c r="AR9" s="312"/>
      <c r="AS9" s="459">
        <v>0.9</v>
      </c>
      <c r="AT9" s="460"/>
      <c r="AU9" s="461"/>
    </row>
    <row r="10" ht="83" customHeight="1" spans="1:47">
      <c r="A10" s="278"/>
      <c r="B10" s="279"/>
      <c r="C10" s="279">
        <v>2</v>
      </c>
      <c r="D10" s="279"/>
      <c r="E10" s="397" t="s">
        <v>311</v>
      </c>
      <c r="F10" s="407"/>
      <c r="G10" s="407"/>
      <c r="H10" s="407"/>
      <c r="I10" s="407"/>
      <c r="J10" s="407"/>
      <c r="K10" s="397" t="s">
        <v>312</v>
      </c>
      <c r="L10" s="407"/>
      <c r="M10" s="407"/>
      <c r="N10" s="407"/>
      <c r="O10" s="407"/>
      <c r="P10" s="425"/>
      <c r="Q10" s="322"/>
      <c r="R10" s="322"/>
      <c r="S10" s="322"/>
      <c r="T10" s="322"/>
      <c r="U10" s="432"/>
      <c r="V10" s="312" t="s">
        <v>313</v>
      </c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 t="s">
        <v>129</v>
      </c>
      <c r="AQ10" s="312"/>
      <c r="AR10" s="312"/>
      <c r="AS10" s="459">
        <v>0.9</v>
      </c>
      <c r="AT10" s="460"/>
      <c r="AU10" s="461"/>
    </row>
    <row r="11" ht="14" customHeight="1" spans="1:47">
      <c r="A11" s="278" t="s">
        <v>110</v>
      </c>
      <c r="B11" s="279"/>
      <c r="C11" s="279"/>
      <c r="D11" s="279"/>
      <c r="E11" s="284" t="s">
        <v>243</v>
      </c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42"/>
      <c r="AD11" s="408"/>
      <c r="AE11" s="442"/>
      <c r="AF11" s="408"/>
      <c r="AG11" s="448">
        <v>90</v>
      </c>
      <c r="AH11" s="427"/>
      <c r="AI11" s="427"/>
      <c r="AJ11" s="427"/>
      <c r="AK11" s="326" t="s">
        <v>244</v>
      </c>
      <c r="AL11" s="449"/>
      <c r="AM11" s="449"/>
      <c r="AN11" s="449"/>
      <c r="AO11" s="449"/>
      <c r="AP11" s="449"/>
      <c r="AQ11" s="449"/>
      <c r="AR11" s="449"/>
      <c r="AS11" s="449"/>
      <c r="AT11" s="449"/>
      <c r="AU11" s="465"/>
    </row>
    <row r="12" ht="30" customHeight="1" spans="1:47">
      <c r="A12" s="278"/>
      <c r="B12" s="279"/>
      <c r="C12" s="279"/>
      <c r="D12" s="279"/>
      <c r="E12" s="409" t="s">
        <v>245</v>
      </c>
      <c r="F12" s="410"/>
      <c r="G12" s="410"/>
      <c r="H12" s="410"/>
      <c r="I12" s="410"/>
      <c r="J12" s="410"/>
      <c r="K12" s="410"/>
      <c r="L12" s="410"/>
      <c r="M12" s="426" t="s">
        <v>212</v>
      </c>
      <c r="N12" s="426"/>
      <c r="O12" s="426"/>
      <c r="P12" s="426"/>
      <c r="Q12" s="426"/>
      <c r="R12" s="349" t="s">
        <v>115</v>
      </c>
      <c r="S12" s="437"/>
      <c r="T12" s="437"/>
      <c r="U12" s="437"/>
      <c r="V12" s="437"/>
      <c r="W12" s="437"/>
      <c r="X12" s="437"/>
      <c r="Y12" s="437"/>
      <c r="Z12" s="437"/>
      <c r="AA12" s="437"/>
      <c r="AB12" s="437"/>
      <c r="AC12" s="437"/>
      <c r="AD12" s="437"/>
      <c r="AE12" s="437"/>
      <c r="AF12" s="437"/>
      <c r="AG12" s="449"/>
      <c r="AH12" s="449"/>
      <c r="AI12" s="449"/>
      <c r="AJ12" s="437"/>
      <c r="AK12" s="437"/>
      <c r="AL12" s="437"/>
      <c r="AM12" s="437"/>
      <c r="AN12" s="437"/>
      <c r="AO12" s="437"/>
      <c r="AP12" s="437"/>
      <c r="AQ12" s="437"/>
      <c r="AR12" s="437"/>
      <c r="AS12" s="437"/>
      <c r="AT12" s="452"/>
      <c r="AU12" s="466"/>
    </row>
    <row r="13" ht="18" customHeight="1" spans="1:47">
      <c r="A13" s="278"/>
      <c r="B13" s="279"/>
      <c r="C13" s="279"/>
      <c r="D13" s="279"/>
      <c r="E13" s="409" t="s">
        <v>246</v>
      </c>
      <c r="F13" s="346"/>
      <c r="G13" s="346"/>
      <c r="H13" s="346"/>
      <c r="I13" s="346"/>
      <c r="J13" s="346"/>
      <c r="K13" s="346"/>
      <c r="L13" s="346"/>
      <c r="M13" s="346"/>
      <c r="N13" s="304"/>
      <c r="O13" s="304"/>
      <c r="P13" s="427" t="s">
        <v>247</v>
      </c>
      <c r="Q13" s="427"/>
      <c r="R13" s="426"/>
      <c r="S13" s="426"/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349" t="s">
        <v>117</v>
      </c>
      <c r="AJ13" s="437"/>
      <c r="AK13" s="437"/>
      <c r="AL13" s="437"/>
      <c r="AM13" s="437"/>
      <c r="AN13" s="437"/>
      <c r="AO13" s="437"/>
      <c r="AP13" s="437"/>
      <c r="AQ13" s="437"/>
      <c r="AR13" s="437"/>
      <c r="AS13" s="437"/>
      <c r="AT13" s="437"/>
      <c r="AU13" s="466"/>
    </row>
    <row r="14" ht="18" customHeight="1" spans="1:47">
      <c r="A14" s="278"/>
      <c r="B14" s="279"/>
      <c r="C14" s="279"/>
      <c r="D14" s="279"/>
      <c r="E14" s="317"/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67"/>
    </row>
    <row r="15" ht="18" customHeight="1" spans="1:47">
      <c r="A15" s="278"/>
      <c r="B15" s="279"/>
      <c r="C15" s="279"/>
      <c r="D15" s="279"/>
      <c r="E15" s="412" t="s">
        <v>118</v>
      </c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50" t="s">
        <v>26</v>
      </c>
      <c r="AN15" s="438"/>
      <c r="AO15" s="438"/>
      <c r="AP15" s="438"/>
      <c r="AQ15" s="438"/>
      <c r="AR15" s="438"/>
      <c r="AS15" s="438"/>
      <c r="AT15" s="438"/>
      <c r="AU15" s="468"/>
    </row>
    <row r="16" ht="18" customHeight="1" spans="1:47">
      <c r="A16" s="278" t="s">
        <v>119</v>
      </c>
      <c r="B16" s="279"/>
      <c r="C16" s="279"/>
      <c r="D16" s="279"/>
      <c r="E16" s="413" t="s">
        <v>248</v>
      </c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51"/>
      <c r="AH16" s="414"/>
      <c r="AI16" s="414"/>
      <c r="AJ16" s="452"/>
      <c r="AK16" s="453"/>
      <c r="AL16" s="429"/>
      <c r="AM16" s="429"/>
      <c r="AN16" s="429"/>
      <c r="AO16" s="346" t="s">
        <v>249</v>
      </c>
      <c r="AP16" s="410"/>
      <c r="AQ16" s="410"/>
      <c r="AR16" s="410"/>
      <c r="AS16" s="410"/>
      <c r="AT16" s="410"/>
      <c r="AU16" s="469"/>
    </row>
    <row r="17" ht="18" customHeight="1" spans="1:47">
      <c r="A17" s="278"/>
      <c r="B17" s="279"/>
      <c r="C17" s="279"/>
      <c r="D17" s="279"/>
      <c r="E17" s="409" t="s">
        <v>250</v>
      </c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29"/>
      <c r="Q17" s="429"/>
      <c r="R17" s="429"/>
      <c r="S17" s="429"/>
      <c r="T17" s="429"/>
      <c r="U17" s="349" t="s">
        <v>115</v>
      </c>
      <c r="V17" s="437"/>
      <c r="W17" s="437"/>
      <c r="X17" s="437"/>
      <c r="Y17" s="437"/>
      <c r="Z17" s="437"/>
      <c r="AA17" s="437"/>
      <c r="AB17" s="437"/>
      <c r="AC17" s="437"/>
      <c r="AD17" s="437"/>
      <c r="AE17" s="437"/>
      <c r="AF17" s="437"/>
      <c r="AG17" s="437"/>
      <c r="AH17" s="437"/>
      <c r="AI17" s="437"/>
      <c r="AJ17" s="437"/>
      <c r="AK17" s="449"/>
      <c r="AL17" s="449"/>
      <c r="AM17" s="449"/>
      <c r="AN17" s="437"/>
      <c r="AO17" s="437"/>
      <c r="AP17" s="437"/>
      <c r="AQ17" s="437"/>
      <c r="AR17" s="437"/>
      <c r="AS17" s="437"/>
      <c r="AT17" s="437"/>
      <c r="AU17" s="466"/>
    </row>
    <row r="18" ht="18" customHeight="1" spans="1:47">
      <c r="A18" s="278"/>
      <c r="B18" s="279"/>
      <c r="C18" s="279"/>
      <c r="D18" s="279"/>
      <c r="E18" s="409" t="s">
        <v>246</v>
      </c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430"/>
      <c r="Q18" s="430"/>
      <c r="R18" s="430"/>
      <c r="S18" s="430"/>
      <c r="T18" s="430"/>
      <c r="U18" s="429"/>
      <c r="V18" s="429"/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349" t="s">
        <v>117</v>
      </c>
      <c r="AJ18" s="437"/>
      <c r="AK18" s="437"/>
      <c r="AL18" s="437"/>
      <c r="AM18" s="437"/>
      <c r="AN18" s="437"/>
      <c r="AO18" s="437"/>
      <c r="AP18" s="437"/>
      <c r="AQ18" s="437"/>
      <c r="AR18" s="437"/>
      <c r="AS18" s="437"/>
      <c r="AT18" s="437"/>
      <c r="AU18" s="466"/>
    </row>
    <row r="19" ht="18" customHeight="1" spans="1:47">
      <c r="A19" s="278"/>
      <c r="B19" s="279"/>
      <c r="C19" s="279"/>
      <c r="D19" s="279"/>
      <c r="E19" s="317"/>
      <c r="F19" s="411"/>
      <c r="G19" s="411"/>
      <c r="H19" s="411"/>
      <c r="I19" s="411"/>
      <c r="J19" s="411"/>
      <c r="K19" s="411"/>
      <c r="L19" s="411"/>
      <c r="M19" s="411"/>
      <c r="N19" s="411"/>
      <c r="O19" s="411"/>
      <c r="P19" s="428"/>
      <c r="Q19" s="428"/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  <c r="AH19" s="428"/>
      <c r="AI19" s="411"/>
      <c r="AJ19" s="411"/>
      <c r="AK19" s="411"/>
      <c r="AL19" s="411"/>
      <c r="AM19" s="411"/>
      <c r="AN19" s="411"/>
      <c r="AO19" s="411"/>
      <c r="AP19" s="411"/>
      <c r="AQ19" s="411"/>
      <c r="AR19" s="411"/>
      <c r="AS19" s="411"/>
      <c r="AT19" s="411"/>
      <c r="AU19" s="467"/>
    </row>
    <row r="20" ht="18" customHeight="1" spans="1:47">
      <c r="A20" s="415"/>
      <c r="B20" s="416"/>
      <c r="C20" s="416"/>
      <c r="D20" s="416"/>
      <c r="E20" s="417" t="s">
        <v>118</v>
      </c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454" t="s">
        <v>26</v>
      </c>
      <c r="AN20" s="439"/>
      <c r="AO20" s="439"/>
      <c r="AP20" s="439"/>
      <c r="AQ20" s="439"/>
      <c r="AR20" s="439"/>
      <c r="AS20" s="439"/>
      <c r="AT20" s="439"/>
      <c r="AU20" s="470"/>
    </row>
  </sheetData>
  <mergeCells count="83">
    <mergeCell ref="A1:I1"/>
    <mergeCell ref="J1:AG1"/>
    <mergeCell ref="AH1:AU1"/>
    <mergeCell ref="A2:H2"/>
    <mergeCell ref="I2:AN2"/>
    <mergeCell ref="AO2:AU2"/>
    <mergeCell ref="A3:J3"/>
    <mergeCell ref="K3:Y3"/>
    <mergeCell ref="Z3:AD3"/>
    <mergeCell ref="AE3:AU3"/>
    <mergeCell ref="A4:J4"/>
    <mergeCell ref="K4:Y4"/>
    <mergeCell ref="Z4:AD4"/>
    <mergeCell ref="AE4:AU4"/>
    <mergeCell ref="A5:J5"/>
    <mergeCell ref="K5:Y5"/>
    <mergeCell ref="Z5:AD5"/>
    <mergeCell ref="AE5:AL5"/>
    <mergeCell ref="AN5:AU5"/>
    <mergeCell ref="A6:D6"/>
    <mergeCell ref="E6:J6"/>
    <mergeCell ref="K6:U6"/>
    <mergeCell ref="V6:AO6"/>
    <mergeCell ref="AP6:AR6"/>
    <mergeCell ref="AS6:AU6"/>
    <mergeCell ref="C7:D7"/>
    <mergeCell ref="E7:J7"/>
    <mergeCell ref="K7:P7"/>
    <mergeCell ref="Q7:U7"/>
    <mergeCell ref="V7:AO7"/>
    <mergeCell ref="AP7:AR7"/>
    <mergeCell ref="AS7:AU7"/>
    <mergeCell ref="C8:D8"/>
    <mergeCell ref="E8:J8"/>
    <mergeCell ref="K8:P8"/>
    <mergeCell ref="Q8:U8"/>
    <mergeCell ref="V8:AO8"/>
    <mergeCell ref="AP8:AR8"/>
    <mergeCell ref="AS8:AU8"/>
    <mergeCell ref="C9:D9"/>
    <mergeCell ref="E9:J9"/>
    <mergeCell ref="K9:P9"/>
    <mergeCell ref="Q9:U9"/>
    <mergeCell ref="V9:AO9"/>
    <mergeCell ref="AP9:AR9"/>
    <mergeCell ref="AS9:AU9"/>
    <mergeCell ref="C10:D10"/>
    <mergeCell ref="E10:J10"/>
    <mergeCell ref="K10:P10"/>
    <mergeCell ref="Q10:U10"/>
    <mergeCell ref="V10:AO10"/>
    <mergeCell ref="AP10:AR10"/>
    <mergeCell ref="AS10:AU10"/>
    <mergeCell ref="E11:AF11"/>
    <mergeCell ref="AG11:AJ11"/>
    <mergeCell ref="AK11:AU11"/>
    <mergeCell ref="E12:L12"/>
    <mergeCell ref="M12:Q12"/>
    <mergeCell ref="R12:AU12"/>
    <mergeCell ref="E13:O13"/>
    <mergeCell ref="P13:AH13"/>
    <mergeCell ref="AI13:AU13"/>
    <mergeCell ref="E14:AU14"/>
    <mergeCell ref="E15:AD15"/>
    <mergeCell ref="AE15:AL15"/>
    <mergeCell ref="AM15:AU15"/>
    <mergeCell ref="E16:AJ16"/>
    <mergeCell ref="AK16:AN16"/>
    <mergeCell ref="AO16:AU16"/>
    <mergeCell ref="E17:O17"/>
    <mergeCell ref="P17:T17"/>
    <mergeCell ref="U17:AU17"/>
    <mergeCell ref="E18:O18"/>
    <mergeCell ref="P18:AH18"/>
    <mergeCell ref="AI18:AU18"/>
    <mergeCell ref="E19:AU19"/>
    <mergeCell ref="E20:AD20"/>
    <mergeCell ref="AE20:AL20"/>
    <mergeCell ref="AM20:AU20"/>
    <mergeCell ref="A7:B8"/>
    <mergeCell ref="A9:B10"/>
    <mergeCell ref="A11:D15"/>
    <mergeCell ref="A16:D20"/>
  </mergeCells>
  <pageMargins left="0.75" right="0.75" top="1" bottom="1" header="0.5" footer="0.5"/>
  <pageSetup paperSize="9" scale="77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1"/>
  <sheetViews>
    <sheetView view="pageBreakPreview" zoomScaleNormal="100" topLeftCell="B14" workbookViewId="0">
      <selection activeCell="B2" sqref="B2:AK2"/>
    </sheetView>
  </sheetViews>
  <sheetFormatPr defaultColWidth="9.24761904761905" defaultRowHeight="12"/>
  <cols>
    <col min="1" max="1" width="0.838095238095238" customWidth="1"/>
    <col min="2" max="2" width="2.71428571428571" customWidth="1"/>
    <col min="3" max="3" width="2" customWidth="1"/>
    <col min="4" max="6" width="2.71428571428571" customWidth="1"/>
    <col min="7" max="7" width="2.83809523809524" customWidth="1"/>
    <col min="8" max="8" width="3.13333333333333" customWidth="1"/>
    <col min="9" max="9" width="2.71428571428571" customWidth="1"/>
    <col min="10" max="12" width="2.83809523809524" customWidth="1"/>
    <col min="13" max="13" width="2.13333333333333" customWidth="1"/>
    <col min="14" max="14" width="2.83809523809524" customWidth="1"/>
    <col min="15" max="15" width="3.71428571428571" customWidth="1"/>
    <col min="16" max="16" width="3" customWidth="1"/>
    <col min="17" max="17" width="3.13333333333333" customWidth="1"/>
    <col min="18" max="18" width="3.83809523809524" customWidth="1"/>
    <col min="19" max="19" width="3.42857142857143" customWidth="1"/>
    <col min="20" max="33" width="2.71428571428571" customWidth="1"/>
    <col min="34" max="37" width="2.42857142857143" customWidth="1"/>
    <col min="38" max="38" width="1" customWidth="1"/>
    <col min="39" max="39" width="9.24761904761905" hidden="1" customWidth="1"/>
  </cols>
  <sheetData>
    <row r="1" ht="35.25" customHeight="1" spans="1:39">
      <c r="A1" s="273"/>
      <c r="B1" s="337"/>
      <c r="C1" s="337"/>
      <c r="D1" s="337"/>
      <c r="E1" s="337"/>
      <c r="F1" s="337"/>
      <c r="G1" s="338" t="s">
        <v>314</v>
      </c>
      <c r="H1" s="338"/>
      <c r="I1" s="338"/>
      <c r="J1" s="338"/>
      <c r="K1" s="338"/>
      <c r="L1" s="338"/>
      <c r="M1" s="338"/>
      <c r="N1" s="338"/>
      <c r="O1" s="338"/>
      <c r="P1" s="400"/>
      <c r="Q1" s="401" t="s">
        <v>1</v>
      </c>
      <c r="R1" s="401"/>
      <c r="S1" s="401"/>
      <c r="T1" s="374" t="s">
        <v>2</v>
      </c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83"/>
      <c r="AK1" s="383"/>
      <c r="AL1" s="273"/>
      <c r="AM1" s="273"/>
    </row>
    <row r="2" customHeight="1" spans="1:39">
      <c r="A2" s="273"/>
      <c r="B2" s="271"/>
      <c r="C2" s="271"/>
      <c r="D2" s="271"/>
      <c r="E2" s="271"/>
      <c r="F2" s="271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273"/>
      <c r="AM2" s="273"/>
    </row>
    <row r="3" ht="17.25" customHeight="1" spans="1:39">
      <c r="A3" s="273"/>
      <c r="B3" s="340" t="s">
        <v>3</v>
      </c>
      <c r="C3" s="340"/>
      <c r="D3" s="341"/>
      <c r="E3" s="341"/>
      <c r="F3" s="340"/>
      <c r="G3" s="340"/>
      <c r="H3" s="340"/>
      <c r="I3" s="340"/>
      <c r="J3" s="340"/>
      <c r="K3" s="273"/>
      <c r="L3" s="273"/>
      <c r="M3" s="273"/>
      <c r="N3" s="273"/>
      <c r="O3" s="273" t="s">
        <v>4</v>
      </c>
      <c r="P3" s="340"/>
      <c r="Q3" s="340" t="s">
        <v>5</v>
      </c>
      <c r="R3" s="352"/>
      <c r="S3" s="273"/>
      <c r="T3" s="273"/>
      <c r="U3" s="273" t="s">
        <v>6</v>
      </c>
      <c r="V3" s="273"/>
      <c r="W3" s="273"/>
      <c r="X3" s="352"/>
      <c r="Y3" s="273"/>
      <c r="Z3" s="295" t="s">
        <v>7</v>
      </c>
      <c r="AA3" s="295"/>
      <c r="AB3" s="273"/>
      <c r="AC3" s="273"/>
      <c r="AD3" s="295"/>
      <c r="AE3" s="295"/>
      <c r="AF3" s="295"/>
      <c r="AG3" s="295"/>
      <c r="AH3" s="295"/>
      <c r="AI3" s="295"/>
      <c r="AJ3" s="295"/>
      <c r="AK3" s="295"/>
      <c r="AL3" s="273"/>
      <c r="AM3" s="273"/>
    </row>
    <row r="4" ht="30" customHeight="1" spans="1:39">
      <c r="A4" s="273"/>
      <c r="B4" s="273" t="s">
        <v>8</v>
      </c>
      <c r="C4" s="273"/>
      <c r="D4" s="273"/>
      <c r="E4" s="273"/>
      <c r="F4" s="273"/>
      <c r="G4" s="273"/>
      <c r="H4" s="295" t="s">
        <v>9</v>
      </c>
      <c r="I4" s="295"/>
      <c r="J4" s="295"/>
      <c r="K4" s="295"/>
      <c r="L4" s="295"/>
      <c r="M4" s="295"/>
      <c r="N4" s="295"/>
      <c r="O4" s="365"/>
      <c r="P4" s="365"/>
      <c r="Q4" s="365"/>
      <c r="R4" s="365"/>
      <c r="S4" s="365"/>
      <c r="T4" s="295"/>
      <c r="U4" s="295"/>
      <c r="V4" s="295"/>
      <c r="W4" s="295"/>
      <c r="X4" s="295"/>
      <c r="Y4" s="273" t="s">
        <v>10</v>
      </c>
      <c r="Z4" s="379"/>
      <c r="AA4" s="379"/>
      <c r="AB4" s="379"/>
      <c r="AC4" s="270"/>
      <c r="AD4" s="273"/>
      <c r="AE4" s="273"/>
      <c r="AF4" s="273"/>
      <c r="AG4" s="273"/>
      <c r="AH4" s="273"/>
      <c r="AI4" s="273"/>
      <c r="AJ4" s="273"/>
      <c r="AK4" s="273"/>
      <c r="AL4" s="273"/>
      <c r="AM4" s="273"/>
    </row>
    <row r="5" ht="3.75" customHeight="1" spans="1:39">
      <c r="A5" s="273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  <c r="V5" s="297"/>
      <c r="W5" s="297"/>
      <c r="X5" s="297"/>
      <c r="Y5" s="297"/>
      <c r="Z5" s="297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384"/>
      <c r="AL5" s="273"/>
      <c r="AM5" s="273"/>
    </row>
    <row r="6" ht="26.25" customHeight="1" spans="1:39">
      <c r="A6" s="335"/>
      <c r="B6" s="342" t="s">
        <v>11</v>
      </c>
      <c r="C6" s="343"/>
      <c r="D6" s="343"/>
      <c r="E6" s="343"/>
      <c r="F6" s="343"/>
      <c r="G6" s="343"/>
      <c r="H6" s="344" t="s">
        <v>12</v>
      </c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80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5"/>
      <c r="AL6" s="386"/>
      <c r="AM6" s="273"/>
    </row>
    <row r="7" ht="26.25" customHeight="1" spans="1:39">
      <c r="A7" s="335"/>
      <c r="B7" s="345"/>
      <c r="C7" s="346"/>
      <c r="D7" s="346"/>
      <c r="E7" s="347" t="str">
        <f>土方开挖评定表!L7</f>
        <v>2024HD10地块-@file_num田块</v>
      </c>
      <c r="F7" s="347"/>
      <c r="G7" s="347"/>
      <c r="H7" s="347"/>
      <c r="I7" s="347"/>
      <c r="J7" s="347"/>
      <c r="K7" s="347"/>
      <c r="L7" s="347"/>
      <c r="M7" s="364" t="str">
        <f>G1</f>
        <v>田埂修筑</v>
      </c>
      <c r="N7" s="364"/>
      <c r="O7" s="364"/>
      <c r="P7" s="272" t="s">
        <v>13</v>
      </c>
      <c r="Q7" s="346" t="s">
        <v>1</v>
      </c>
      <c r="R7" s="346"/>
      <c r="S7" s="272" t="s">
        <v>14</v>
      </c>
      <c r="T7" s="365" t="s">
        <v>15</v>
      </c>
      <c r="U7" s="365"/>
      <c r="V7" s="365"/>
      <c r="W7" s="365"/>
      <c r="X7" s="365"/>
      <c r="Y7" s="365"/>
      <c r="Z7" s="365"/>
      <c r="AA7" s="365"/>
      <c r="AB7" s="365"/>
      <c r="AC7" s="365"/>
      <c r="AD7" s="365"/>
      <c r="AE7" s="365"/>
      <c r="AF7" s="365"/>
      <c r="AG7" s="365"/>
      <c r="AH7" s="365"/>
      <c r="AI7" s="387"/>
      <c r="AJ7" s="270"/>
      <c r="AK7" s="275"/>
      <c r="AL7" s="386"/>
      <c r="AM7" s="273"/>
    </row>
    <row r="8" ht="24.75" customHeight="1" spans="1:39">
      <c r="A8" s="335"/>
      <c r="B8" s="348"/>
      <c r="C8" s="349" t="s">
        <v>16</v>
      </c>
      <c r="D8" s="349"/>
      <c r="E8" s="349"/>
      <c r="F8" s="349"/>
      <c r="G8" s="349"/>
      <c r="H8" s="349"/>
      <c r="I8" s="366"/>
      <c r="J8" s="367"/>
      <c r="K8" s="367"/>
      <c r="L8" s="367"/>
      <c r="M8" s="367"/>
      <c r="N8" s="367"/>
      <c r="O8" s="368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88"/>
      <c r="AL8" s="386"/>
      <c r="AM8" s="273"/>
    </row>
    <row r="9" ht="33.75" customHeight="1" spans="1:39">
      <c r="A9" s="335"/>
      <c r="B9" s="348"/>
      <c r="C9" s="273"/>
      <c r="D9" s="273"/>
      <c r="E9" s="350" t="s">
        <v>17</v>
      </c>
      <c r="F9" s="349"/>
      <c r="G9" s="351" t="s">
        <v>315</v>
      </c>
      <c r="H9" s="352"/>
      <c r="I9" s="364"/>
      <c r="J9" s="364"/>
      <c r="K9" s="364"/>
      <c r="L9" s="364"/>
      <c r="M9" s="364"/>
      <c r="N9" s="364"/>
      <c r="O9" s="364"/>
      <c r="P9" s="364"/>
      <c r="Q9" s="376"/>
      <c r="R9" s="376"/>
      <c r="S9" s="376"/>
      <c r="T9" s="376"/>
      <c r="U9" s="376"/>
      <c r="V9" s="376"/>
      <c r="W9" s="376"/>
      <c r="X9" s="349" t="s">
        <v>19</v>
      </c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89"/>
      <c r="AL9" s="294"/>
      <c r="AM9" s="295">
        <v>0</v>
      </c>
    </row>
    <row r="10" ht="33.75" customHeight="1" spans="1:39">
      <c r="A10" s="335"/>
      <c r="B10" s="348"/>
      <c r="C10" s="273"/>
      <c r="D10" s="273"/>
      <c r="E10" s="352"/>
      <c r="F10" s="273"/>
      <c r="G10" s="351" t="s">
        <v>315</v>
      </c>
      <c r="H10" s="352"/>
      <c r="I10" s="285"/>
      <c r="J10" s="285"/>
      <c r="K10" s="285"/>
      <c r="L10" s="285"/>
      <c r="M10" s="285"/>
      <c r="N10" s="285"/>
      <c r="O10" s="285"/>
      <c r="P10" s="285"/>
      <c r="Q10" s="377"/>
      <c r="R10" s="377"/>
      <c r="S10" s="377"/>
      <c r="T10" s="377"/>
      <c r="U10" s="377"/>
      <c r="V10" s="377"/>
      <c r="W10" s="377"/>
      <c r="X10" s="349" t="s">
        <v>20</v>
      </c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89"/>
      <c r="AL10" s="386"/>
      <c r="AM10" s="295">
        <v>0</v>
      </c>
    </row>
    <row r="11" ht="33.75" customHeight="1" spans="1:39">
      <c r="A11" s="335"/>
      <c r="B11" s="348"/>
      <c r="C11" s="273"/>
      <c r="D11" s="273"/>
      <c r="E11" s="352"/>
      <c r="F11" s="273"/>
      <c r="G11" s="351" t="s">
        <v>315</v>
      </c>
      <c r="H11" s="352"/>
      <c r="I11" s="285" t="s">
        <v>314</v>
      </c>
      <c r="J11" s="285"/>
      <c r="K11" s="285"/>
      <c r="L11" s="285"/>
      <c r="M11" s="285"/>
      <c r="N11" s="285"/>
      <c r="O11" s="285"/>
      <c r="P11" s="285"/>
      <c r="Q11" s="377"/>
      <c r="R11" s="377"/>
      <c r="S11" s="377"/>
      <c r="T11" s="377"/>
      <c r="U11" s="377"/>
      <c r="V11" s="377"/>
      <c r="W11" s="377"/>
      <c r="X11" s="349" t="s">
        <v>21</v>
      </c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89"/>
      <c r="AL11" s="386"/>
      <c r="AM11" s="295">
        <v>1</v>
      </c>
    </row>
    <row r="12" ht="33.75" customHeight="1" spans="1:39">
      <c r="A12" s="335"/>
      <c r="B12" s="348"/>
      <c r="C12" s="273"/>
      <c r="D12" s="273"/>
      <c r="E12" s="352"/>
      <c r="F12" s="273"/>
      <c r="G12" s="351" t="s">
        <v>315</v>
      </c>
      <c r="H12" s="352"/>
      <c r="I12" s="285"/>
      <c r="J12" s="285"/>
      <c r="K12" s="285"/>
      <c r="L12" s="285"/>
      <c r="M12" s="285"/>
      <c r="N12" s="285"/>
      <c r="O12" s="285"/>
      <c r="P12" s="285"/>
      <c r="Q12" s="377"/>
      <c r="R12" s="377"/>
      <c r="S12" s="377"/>
      <c r="T12" s="377"/>
      <c r="U12" s="377"/>
      <c r="V12" s="377"/>
      <c r="W12" s="377"/>
      <c r="X12" s="349" t="s">
        <v>22</v>
      </c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89"/>
      <c r="AL12" s="386"/>
      <c r="AM12" s="295">
        <v>0</v>
      </c>
    </row>
    <row r="13" ht="17.25" customHeight="1" spans="1:39">
      <c r="A13" s="335"/>
      <c r="B13" s="353"/>
      <c r="C13" s="354"/>
      <c r="D13" s="354"/>
      <c r="E13" s="355"/>
      <c r="F13" s="354"/>
      <c r="G13" s="354"/>
      <c r="H13" s="355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90"/>
      <c r="AL13" s="386"/>
      <c r="AM13" s="273"/>
    </row>
    <row r="14" ht="17.25" customHeight="1" spans="1:39">
      <c r="A14" s="335"/>
      <c r="B14" s="353"/>
      <c r="C14" s="354"/>
      <c r="D14" s="354"/>
      <c r="E14" s="355"/>
      <c r="F14" s="354"/>
      <c r="G14" s="354"/>
      <c r="H14" s="355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90"/>
      <c r="AL14" s="386"/>
      <c r="AM14" s="273"/>
    </row>
    <row r="15" ht="17.25" customHeight="1" spans="1:39">
      <c r="A15" s="335"/>
      <c r="B15" s="353"/>
      <c r="C15" s="354"/>
      <c r="D15" s="354"/>
      <c r="E15" s="355"/>
      <c r="F15" s="354"/>
      <c r="G15" s="354"/>
      <c r="H15" s="355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90"/>
      <c r="AL15" s="386"/>
      <c r="AM15" s="273"/>
    </row>
    <row r="16" ht="17.25" customHeight="1" spans="1:39">
      <c r="A16" s="335"/>
      <c r="B16" s="353"/>
      <c r="C16" s="354"/>
      <c r="D16" s="354"/>
      <c r="E16" s="355"/>
      <c r="F16" s="354"/>
      <c r="G16" s="354"/>
      <c r="H16" s="355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90"/>
      <c r="AL16" s="386"/>
      <c r="AM16" s="273"/>
    </row>
    <row r="17" ht="33.75" customHeight="1" spans="1:39">
      <c r="A17" s="335"/>
      <c r="B17" s="356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370"/>
      <c r="P17" s="295" t="s">
        <v>23</v>
      </c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372"/>
      <c r="AG17" s="295"/>
      <c r="AH17" s="295"/>
      <c r="AI17" s="295"/>
      <c r="AJ17" s="295"/>
      <c r="AK17" s="391"/>
      <c r="AL17" s="386"/>
      <c r="AM17" s="273"/>
    </row>
    <row r="18" ht="24" customHeight="1" spans="1:39">
      <c r="A18" s="335"/>
      <c r="B18" s="356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370"/>
      <c r="P18" s="295" t="s">
        <v>24</v>
      </c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372"/>
      <c r="AG18" s="295"/>
      <c r="AH18" s="295"/>
      <c r="AI18" s="295"/>
      <c r="AJ18" s="295"/>
      <c r="AK18" s="391"/>
      <c r="AL18" s="386"/>
      <c r="AM18" s="273"/>
    </row>
    <row r="19" ht="24" customHeight="1" spans="1:39">
      <c r="A19" s="335"/>
      <c r="B19" s="357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71"/>
      <c r="P19" s="305" t="s">
        <v>25</v>
      </c>
      <c r="Q19" s="305"/>
      <c r="R19" s="305"/>
      <c r="S19" s="305"/>
      <c r="T19" s="378" t="s">
        <v>26</v>
      </c>
      <c r="U19" s="288"/>
      <c r="V19" s="288"/>
      <c r="W19" s="288"/>
      <c r="X19" s="288"/>
      <c r="Y19" s="333"/>
      <c r="Z19" s="333"/>
      <c r="AA19" s="333"/>
      <c r="AB19" s="288"/>
      <c r="AC19" s="288"/>
      <c r="AD19" s="288"/>
      <c r="AE19" s="288"/>
      <c r="AF19" s="288"/>
      <c r="AG19" s="288"/>
      <c r="AH19" s="288"/>
      <c r="AI19" s="288"/>
      <c r="AJ19" s="288"/>
      <c r="AK19" s="333"/>
      <c r="AL19" s="386"/>
      <c r="AM19" s="273"/>
    </row>
    <row r="20" ht="22.5" customHeight="1" spans="1:39">
      <c r="A20" s="335"/>
      <c r="B20" s="353" t="s">
        <v>27</v>
      </c>
      <c r="C20" s="358"/>
      <c r="D20" s="359"/>
      <c r="E20" s="358"/>
      <c r="F20" s="295" t="s">
        <v>28</v>
      </c>
      <c r="G20" s="295"/>
      <c r="H20" s="273"/>
      <c r="I20" s="273"/>
      <c r="J20" s="273"/>
      <c r="K20" s="273"/>
      <c r="L20" s="273"/>
      <c r="M20" s="273"/>
      <c r="N20" s="273"/>
      <c r="O20" s="352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0"/>
      <c r="AD20" s="290"/>
      <c r="AE20" s="290"/>
      <c r="AF20" s="290"/>
      <c r="AG20" s="290"/>
      <c r="AH20" s="290"/>
      <c r="AI20" s="290"/>
      <c r="AJ20" s="290"/>
      <c r="AK20" s="334"/>
      <c r="AL20" s="386"/>
      <c r="AM20" s="273"/>
    </row>
    <row r="21" ht="48" customHeight="1" spans="1:39">
      <c r="A21" s="335"/>
      <c r="B21" s="353"/>
      <c r="C21" s="358"/>
      <c r="D21" s="359"/>
      <c r="E21" s="358"/>
      <c r="F21" s="273"/>
      <c r="G21" s="273"/>
      <c r="H21" s="273"/>
      <c r="I21" s="273"/>
      <c r="J21" s="273"/>
      <c r="K21" s="273"/>
      <c r="L21" s="273"/>
      <c r="M21" s="273"/>
      <c r="N21" s="273"/>
      <c r="O21" s="352"/>
      <c r="P21" s="273"/>
      <c r="Q21" s="273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391"/>
      <c r="AL21" s="386"/>
      <c r="AM21" s="273"/>
    </row>
    <row r="22" ht="22.5" customHeight="1" spans="1:39">
      <c r="A22" s="335"/>
      <c r="B22" s="353"/>
      <c r="C22" s="358"/>
      <c r="D22" s="359"/>
      <c r="E22" s="358"/>
      <c r="F22" s="351"/>
      <c r="G22" s="351" t="s">
        <v>13</v>
      </c>
      <c r="H22" s="295" t="s">
        <v>29</v>
      </c>
      <c r="I22" s="295"/>
      <c r="J22" s="295"/>
      <c r="K22" s="295"/>
      <c r="L22" s="295"/>
      <c r="M22" s="295"/>
      <c r="N22" s="295"/>
      <c r="O22" s="370"/>
      <c r="P22" s="295"/>
      <c r="Q22" s="270"/>
      <c r="R22" s="270"/>
      <c r="S22" s="270"/>
      <c r="T22" s="270"/>
      <c r="U22" s="351" t="s">
        <v>13</v>
      </c>
      <c r="V22" s="295"/>
      <c r="W22" s="295" t="s">
        <v>30</v>
      </c>
      <c r="X22" s="295"/>
      <c r="Y22" s="295"/>
      <c r="Z22" s="295"/>
      <c r="AA22" s="295"/>
      <c r="AB22" s="295"/>
      <c r="AC22" s="295"/>
      <c r="AD22" s="370"/>
      <c r="AE22" s="295"/>
      <c r="AF22" s="295"/>
      <c r="AG22" s="295"/>
      <c r="AH22" s="295"/>
      <c r="AI22" s="295"/>
      <c r="AJ22" s="295"/>
      <c r="AK22" s="391"/>
      <c r="AL22" s="386"/>
      <c r="AM22" s="273"/>
    </row>
    <row r="23" ht="26.25" customHeight="1" spans="1:39">
      <c r="A23" s="335"/>
      <c r="B23" s="353"/>
      <c r="C23" s="358"/>
      <c r="D23" s="359"/>
      <c r="E23" s="358"/>
      <c r="F23" s="351"/>
      <c r="G23" s="351" t="s">
        <v>13</v>
      </c>
      <c r="H23" s="295" t="s">
        <v>31</v>
      </c>
      <c r="I23" s="295"/>
      <c r="J23" s="295"/>
      <c r="K23" s="295"/>
      <c r="L23" s="295"/>
      <c r="M23" s="295"/>
      <c r="N23" s="295"/>
      <c r="O23" s="370"/>
      <c r="P23" s="295"/>
      <c r="Q23" s="270"/>
      <c r="R23" s="270"/>
      <c r="S23" s="270"/>
      <c r="T23" s="270"/>
      <c r="U23" s="351" t="s">
        <v>13</v>
      </c>
      <c r="V23" s="295"/>
      <c r="W23" s="295" t="s">
        <v>32</v>
      </c>
      <c r="X23" s="295"/>
      <c r="Y23" s="295"/>
      <c r="Z23" s="295"/>
      <c r="AA23" s="295"/>
      <c r="AB23" s="295"/>
      <c r="AC23" s="295"/>
      <c r="AD23" s="370"/>
      <c r="AE23" s="295"/>
      <c r="AF23" s="295"/>
      <c r="AG23" s="295"/>
      <c r="AH23" s="295"/>
      <c r="AI23" s="295"/>
      <c r="AJ23" s="295"/>
      <c r="AK23" s="391"/>
      <c r="AL23" s="386"/>
      <c r="AM23" s="273"/>
    </row>
    <row r="24" ht="25.5" customHeight="1" spans="1:39">
      <c r="A24" s="335"/>
      <c r="B24" s="353"/>
      <c r="C24" s="358"/>
      <c r="D24" s="359"/>
      <c r="E24" s="358"/>
      <c r="F24" s="295"/>
      <c r="G24" s="295"/>
      <c r="H24" s="295"/>
      <c r="I24" s="295"/>
      <c r="J24" s="295"/>
      <c r="K24" s="295"/>
      <c r="L24" s="295"/>
      <c r="M24" s="295"/>
      <c r="N24" s="295"/>
      <c r="O24" s="370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391"/>
      <c r="AL24" s="386"/>
      <c r="AM24" s="273"/>
    </row>
    <row r="25" ht="25.5" customHeight="1" spans="1:39">
      <c r="A25" s="335"/>
      <c r="B25" s="353"/>
      <c r="C25" s="358"/>
      <c r="D25" s="359"/>
      <c r="E25" s="358"/>
      <c r="F25" s="295" t="s">
        <v>33</v>
      </c>
      <c r="G25" s="295"/>
      <c r="H25" s="295"/>
      <c r="I25" s="295"/>
      <c r="J25" s="295"/>
      <c r="K25" s="295"/>
      <c r="L25" s="295"/>
      <c r="M25" s="295"/>
      <c r="N25" s="295"/>
      <c r="O25" s="370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391"/>
      <c r="AL25" s="386"/>
      <c r="AM25" s="273"/>
    </row>
    <row r="26" ht="23.25" customHeight="1" spans="1:39">
      <c r="A26" s="335"/>
      <c r="B26" s="353"/>
      <c r="C26" s="358"/>
      <c r="D26" s="359"/>
      <c r="E26" s="358"/>
      <c r="F26" s="295"/>
      <c r="G26" s="295"/>
      <c r="H26" s="295"/>
      <c r="I26" s="295"/>
      <c r="J26" s="295"/>
      <c r="K26" s="295"/>
      <c r="L26" s="295"/>
      <c r="M26" s="295"/>
      <c r="N26" s="295"/>
      <c r="O26" s="370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391"/>
      <c r="AL26" s="386"/>
      <c r="AM26" s="273"/>
    </row>
    <row r="27" ht="33.75" customHeight="1" spans="1:39">
      <c r="A27" s="335"/>
      <c r="B27" s="353"/>
      <c r="C27" s="358"/>
      <c r="D27" s="359"/>
      <c r="E27" s="358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372" t="s">
        <v>34</v>
      </c>
      <c r="Q27" s="372"/>
      <c r="R27" s="372"/>
      <c r="S27" s="372"/>
      <c r="T27" s="372"/>
      <c r="U27" s="372"/>
      <c r="V27" s="372"/>
      <c r="W27" s="372"/>
      <c r="X27" s="295"/>
      <c r="Y27" s="295"/>
      <c r="Z27" s="295"/>
      <c r="AA27" s="295"/>
      <c r="AB27" s="295"/>
      <c r="AC27" s="372"/>
      <c r="AD27" s="295"/>
      <c r="AE27" s="295"/>
      <c r="AF27" s="295"/>
      <c r="AG27" s="295"/>
      <c r="AH27" s="391"/>
      <c r="AI27" s="365"/>
      <c r="AJ27" s="365"/>
      <c r="AK27" s="392"/>
      <c r="AL27" s="386"/>
      <c r="AM27" s="273"/>
    </row>
    <row r="28" ht="24" customHeight="1" spans="1:39">
      <c r="A28" s="335"/>
      <c r="B28" s="353"/>
      <c r="C28" s="358"/>
      <c r="D28" s="359"/>
      <c r="E28" s="358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 t="s">
        <v>35</v>
      </c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372"/>
      <c r="AG28" s="295"/>
      <c r="AH28" s="295"/>
      <c r="AI28" s="295"/>
      <c r="AJ28" s="295"/>
      <c r="AK28" s="391"/>
      <c r="AL28" s="386"/>
      <c r="AM28" s="273"/>
    </row>
    <row r="29" ht="24" customHeight="1" spans="1:39">
      <c r="A29" s="335"/>
      <c r="B29" s="360"/>
      <c r="C29" s="318"/>
      <c r="D29" s="361"/>
      <c r="E29" s="318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 t="s">
        <v>25</v>
      </c>
      <c r="Q29" s="362"/>
      <c r="R29" s="362"/>
      <c r="S29" s="362"/>
      <c r="T29" s="308" t="s">
        <v>26</v>
      </c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88"/>
      <c r="AI29" s="288"/>
      <c r="AJ29" s="288"/>
      <c r="AK29" s="333"/>
      <c r="AL29" s="386"/>
      <c r="AM29" s="273"/>
    </row>
    <row r="30" ht="21.75" customHeight="1" spans="1:39">
      <c r="A30" s="273"/>
      <c r="B30" s="343" t="s">
        <v>36</v>
      </c>
      <c r="C30" s="343"/>
      <c r="D30" s="343"/>
      <c r="E30" s="343"/>
      <c r="F30" s="343"/>
      <c r="G30" s="343"/>
      <c r="H30" s="363"/>
      <c r="I30" s="363"/>
      <c r="J30" s="343" t="s">
        <v>37</v>
      </c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63"/>
      <c r="Z30" s="363"/>
      <c r="AA30" s="382" t="s">
        <v>38</v>
      </c>
      <c r="AB30" s="382"/>
      <c r="AC30" s="382"/>
      <c r="AD30" s="382"/>
      <c r="AE30" s="382"/>
      <c r="AF30" s="363"/>
      <c r="AG30" s="393"/>
      <c r="AH30" s="346" t="s">
        <v>39</v>
      </c>
      <c r="AI30" s="346"/>
      <c r="AJ30" s="270"/>
      <c r="AK30" s="270"/>
      <c r="AL30" s="273"/>
      <c r="AM30" s="273"/>
    </row>
    <row r="31" ht="7.5" customHeight="1" spans="1:39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402"/>
      <c r="AG31" s="402"/>
      <c r="AH31" s="273"/>
      <c r="AI31" s="273"/>
      <c r="AJ31" s="273"/>
      <c r="AK31" s="273"/>
      <c r="AL31" s="273"/>
      <c r="AM31" s="273"/>
    </row>
  </sheetData>
  <mergeCells count="86">
    <mergeCell ref="B1:F1"/>
    <mergeCell ref="G1:O1"/>
    <mergeCell ref="Q1:S1"/>
    <mergeCell ref="T1:AK1"/>
    <mergeCell ref="B2:AK2"/>
    <mergeCell ref="B3:N3"/>
    <mergeCell ref="O3:P3"/>
    <mergeCell ref="R3:T3"/>
    <mergeCell ref="U3:W3"/>
    <mergeCell ref="X3:Y3"/>
    <mergeCell ref="Z3:AA3"/>
    <mergeCell ref="AB3:AK3"/>
    <mergeCell ref="B4:G4"/>
    <mergeCell ref="H4:X4"/>
    <mergeCell ref="Y4:AC4"/>
    <mergeCell ref="AD4:AK4"/>
    <mergeCell ref="B5:AK5"/>
    <mergeCell ref="B6:G6"/>
    <mergeCell ref="H6:Y6"/>
    <mergeCell ref="Z6:AK6"/>
    <mergeCell ref="B7:D7"/>
    <mergeCell ref="E7:L7"/>
    <mergeCell ref="M7:O7"/>
    <mergeCell ref="Q7:R7"/>
    <mergeCell ref="T7:AK7"/>
    <mergeCell ref="C8:AK8"/>
    <mergeCell ref="B9:D9"/>
    <mergeCell ref="E9:F9"/>
    <mergeCell ref="G9:H9"/>
    <mergeCell ref="I9:W9"/>
    <mergeCell ref="X9:AK9"/>
    <mergeCell ref="B10:F10"/>
    <mergeCell ref="G10:H10"/>
    <mergeCell ref="I10:W10"/>
    <mergeCell ref="X10:AK10"/>
    <mergeCell ref="B11:F11"/>
    <mergeCell ref="G11:H11"/>
    <mergeCell ref="I11:W11"/>
    <mergeCell ref="X11:AK11"/>
    <mergeCell ref="B12:F12"/>
    <mergeCell ref="G12:H12"/>
    <mergeCell ref="I12:W12"/>
    <mergeCell ref="X12:AK12"/>
    <mergeCell ref="P17:Z17"/>
    <mergeCell ref="AA17:AK17"/>
    <mergeCell ref="P18:V18"/>
    <mergeCell ref="W18:AB18"/>
    <mergeCell ref="AC18:AK18"/>
    <mergeCell ref="P19:S19"/>
    <mergeCell ref="T19:AB19"/>
    <mergeCell ref="AC19:AK19"/>
    <mergeCell ref="F20:AK20"/>
    <mergeCell ref="F21:AK21"/>
    <mergeCell ref="H22:P22"/>
    <mergeCell ref="Q22:T22"/>
    <mergeCell ref="U22:V22"/>
    <mergeCell ref="W22:AK22"/>
    <mergeCell ref="H23:P23"/>
    <mergeCell ref="Q23:T23"/>
    <mergeCell ref="U23:V23"/>
    <mergeCell ref="W23:AK23"/>
    <mergeCell ref="F24:AK24"/>
    <mergeCell ref="F25:AK25"/>
    <mergeCell ref="F26:AK26"/>
    <mergeCell ref="P27:W27"/>
    <mergeCell ref="X27:AK27"/>
    <mergeCell ref="P28:V28"/>
    <mergeCell ref="W28:AB28"/>
    <mergeCell ref="AC28:AK28"/>
    <mergeCell ref="P29:S29"/>
    <mergeCell ref="T29:AB29"/>
    <mergeCell ref="AC29:AK29"/>
    <mergeCell ref="B30:G30"/>
    <mergeCell ref="H30:I30"/>
    <mergeCell ref="J30:X30"/>
    <mergeCell ref="Y30:Z30"/>
    <mergeCell ref="AA30:AE30"/>
    <mergeCell ref="AF30:AG30"/>
    <mergeCell ref="AH30:AI30"/>
    <mergeCell ref="A31:AL31"/>
    <mergeCell ref="A1:A30"/>
    <mergeCell ref="AL1:AL30"/>
    <mergeCell ref="B13:AK16"/>
    <mergeCell ref="B17:O19"/>
    <mergeCell ref="B20:E29"/>
    <mergeCell ref="F27:O29"/>
  </mergeCells>
  <pageMargins left="0.75" right="0" top="1" bottom="0.21" header="0.5" footer="0.5"/>
  <pageSetup paperSize="9" scale="94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view="pageBreakPreview" zoomScaleNormal="100" topLeftCell="A7" workbookViewId="0">
      <selection activeCell="AM13" sqref="AM13"/>
    </sheetView>
  </sheetViews>
  <sheetFormatPr defaultColWidth="9.24761904761905" defaultRowHeight="12"/>
  <cols>
    <col min="1" max="1" width="0.714285714285714" customWidth="1"/>
    <col min="2" max="4" width="3.13333333333333" customWidth="1"/>
    <col min="5" max="16" width="3" customWidth="1"/>
    <col min="17" max="26" width="3.56190476190476" customWidth="1"/>
    <col min="27" max="30" width="2.42857142857143" customWidth="1"/>
    <col min="31" max="34" width="2.28571428571429" customWidth="1"/>
    <col min="35" max="35" width="0.714285714285714" customWidth="1"/>
  </cols>
  <sheetData>
    <row r="1" ht="3.75" customHeight="1" spans="1:35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</row>
    <row r="2" ht="45" customHeight="1" spans="1:35">
      <c r="A2" s="270"/>
      <c r="B2" s="394"/>
      <c r="C2" s="394"/>
      <c r="D2" s="394"/>
      <c r="E2" s="394"/>
      <c r="F2" s="394"/>
      <c r="G2" s="394"/>
      <c r="H2" s="394"/>
      <c r="I2" s="394"/>
      <c r="J2" s="396" t="s">
        <v>314</v>
      </c>
      <c r="K2" s="396"/>
      <c r="L2" s="396"/>
      <c r="M2" s="396"/>
      <c r="N2" s="396"/>
      <c r="O2" s="396"/>
      <c r="P2" s="396"/>
      <c r="Q2" s="398" t="s">
        <v>316</v>
      </c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4"/>
      <c r="AC2" s="394"/>
      <c r="AD2" s="394"/>
      <c r="AE2" s="394"/>
      <c r="AF2" s="394"/>
      <c r="AG2" s="394"/>
      <c r="AH2" s="394"/>
      <c r="AI2" s="270"/>
    </row>
    <row r="3" ht="26.25" customHeight="1" spans="1:35">
      <c r="A3" s="270"/>
      <c r="B3" s="273" t="s">
        <v>41</v>
      </c>
      <c r="C3" s="272"/>
      <c r="D3" s="272"/>
      <c r="E3" s="272"/>
      <c r="F3" s="395" t="s">
        <v>9</v>
      </c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9"/>
      <c r="V3" s="399"/>
      <c r="W3" s="399"/>
      <c r="X3" s="399"/>
      <c r="Y3" s="399"/>
      <c r="Z3" s="274" t="s">
        <v>10</v>
      </c>
      <c r="AA3" s="274"/>
      <c r="AB3" s="274"/>
      <c r="AC3" s="274"/>
      <c r="AD3" s="274"/>
      <c r="AE3" s="274"/>
      <c r="AF3" s="274"/>
      <c r="AG3" s="274"/>
      <c r="AH3" s="274"/>
      <c r="AI3" s="270"/>
    </row>
    <row r="4" ht="30" customHeight="1" spans="1:35">
      <c r="A4" s="275"/>
      <c r="B4" s="276" t="s">
        <v>42</v>
      </c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98" t="str">
        <f>表土玻璃和回覆质量评定表!M4</f>
        <v>土地平整工程</v>
      </c>
      <c r="N4" s="299"/>
      <c r="O4" s="299"/>
      <c r="P4" s="299"/>
      <c r="Q4" s="299"/>
      <c r="R4" s="299"/>
      <c r="S4" s="299"/>
      <c r="T4" s="299"/>
      <c r="U4" s="299"/>
      <c r="V4" s="310"/>
      <c r="W4" s="277" t="s">
        <v>44</v>
      </c>
      <c r="X4" s="277"/>
      <c r="Y4" s="277"/>
      <c r="Z4" s="277"/>
      <c r="AA4" s="298"/>
      <c r="AB4" s="299"/>
      <c r="AC4" s="299"/>
      <c r="AD4" s="299"/>
      <c r="AE4" s="299"/>
      <c r="AF4" s="299"/>
      <c r="AG4" s="299"/>
      <c r="AH4" s="327"/>
      <c r="AI4" s="270"/>
    </row>
    <row r="5" ht="30" customHeight="1" spans="1:35">
      <c r="A5" s="275"/>
      <c r="B5" s="278" t="s">
        <v>45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300" t="str">
        <f>表土玻璃和回覆质量评定表!M5</f>
        <v>2024HD10地块土地平整</v>
      </c>
      <c r="N5" s="301"/>
      <c r="O5" s="301"/>
      <c r="P5" s="301"/>
      <c r="Q5" s="301"/>
      <c r="R5" s="301"/>
      <c r="S5" s="301"/>
      <c r="T5" s="301"/>
      <c r="U5" s="301"/>
      <c r="V5" s="281"/>
      <c r="W5" s="279" t="s">
        <v>47</v>
      </c>
      <c r="X5" s="279"/>
      <c r="Y5" s="279"/>
      <c r="Z5" s="279"/>
      <c r="AA5" s="320" t="s">
        <v>26</v>
      </c>
      <c r="AB5" s="301"/>
      <c r="AC5" s="301"/>
      <c r="AD5" s="301"/>
      <c r="AE5" s="301"/>
      <c r="AF5" s="301"/>
      <c r="AG5" s="301"/>
      <c r="AH5" s="328"/>
      <c r="AI5" s="270"/>
    </row>
    <row r="6" ht="30" customHeight="1" spans="1:35">
      <c r="A6" s="275"/>
      <c r="B6" s="278" t="s">
        <v>48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302" t="str">
        <f>表土玻璃和回覆质量评定表!M6</f>
        <v>2024HD10地块-@file_num田块</v>
      </c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11" t="str">
        <f>J2</f>
        <v>田埂修筑</v>
      </c>
      <c r="Z6" s="311"/>
      <c r="AA6" s="311"/>
      <c r="AB6" s="311"/>
      <c r="AC6" s="311"/>
      <c r="AD6" s="311"/>
      <c r="AE6" s="311"/>
      <c r="AF6" s="311"/>
      <c r="AG6" s="311"/>
      <c r="AH6" s="329"/>
      <c r="AI6" s="270"/>
    </row>
    <row r="7" ht="26.25" customHeight="1" spans="1:35">
      <c r="A7" s="275"/>
      <c r="B7" s="280" t="s">
        <v>50</v>
      </c>
      <c r="C7" s="281"/>
      <c r="D7" s="279" t="s">
        <v>51</v>
      </c>
      <c r="E7" s="279"/>
      <c r="F7" s="279"/>
      <c r="G7" s="279"/>
      <c r="H7" s="279"/>
      <c r="I7" s="279"/>
      <c r="J7" s="279"/>
      <c r="K7" s="279"/>
      <c r="L7" s="279"/>
      <c r="M7" s="279" t="s">
        <v>52</v>
      </c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300" t="s">
        <v>53</v>
      </c>
      <c r="AB7" s="301"/>
      <c r="AC7" s="301"/>
      <c r="AD7" s="301"/>
      <c r="AE7" s="301"/>
      <c r="AF7" s="301"/>
      <c r="AG7" s="301"/>
      <c r="AH7" s="328"/>
      <c r="AI7" s="270"/>
    </row>
    <row r="8" ht="48.75" customHeight="1" spans="1:35">
      <c r="A8" s="275"/>
      <c r="B8" s="280">
        <v>1</v>
      </c>
      <c r="C8" s="281"/>
      <c r="D8" s="279" t="s">
        <v>317</v>
      </c>
      <c r="E8" s="279"/>
      <c r="F8" s="279"/>
      <c r="G8" s="279"/>
      <c r="H8" s="279"/>
      <c r="I8" s="279"/>
      <c r="J8" s="279"/>
      <c r="K8" s="279"/>
      <c r="L8" s="279"/>
      <c r="M8" s="397" t="s">
        <v>318</v>
      </c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21" t="s">
        <v>319</v>
      </c>
      <c r="AB8" s="322"/>
      <c r="AC8" s="322"/>
      <c r="AD8" s="322"/>
      <c r="AE8" s="322"/>
      <c r="AF8" s="322"/>
      <c r="AG8" s="322"/>
      <c r="AH8" s="330"/>
      <c r="AI8" s="270"/>
    </row>
    <row r="9" ht="48.75" customHeight="1" spans="1:35">
      <c r="A9" s="275"/>
      <c r="B9" s="280">
        <v>2</v>
      </c>
      <c r="C9" s="281"/>
      <c r="D9" s="279" t="s">
        <v>320</v>
      </c>
      <c r="E9" s="279"/>
      <c r="F9" s="279"/>
      <c r="G9" s="279"/>
      <c r="H9" s="279"/>
      <c r="I9" s="279"/>
      <c r="J9" s="279"/>
      <c r="K9" s="279"/>
      <c r="L9" s="279"/>
      <c r="M9" s="397" t="s">
        <v>321</v>
      </c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  <c r="AA9" s="321" t="s">
        <v>319</v>
      </c>
      <c r="AB9" s="322"/>
      <c r="AC9" s="322"/>
      <c r="AD9" s="322"/>
      <c r="AE9" s="322"/>
      <c r="AF9" s="322"/>
      <c r="AG9" s="322"/>
      <c r="AH9" s="330"/>
      <c r="AI9" s="270"/>
    </row>
    <row r="10" ht="49.5" customHeight="1" spans="1:35">
      <c r="A10" s="275"/>
      <c r="B10" s="280">
        <v>3</v>
      </c>
      <c r="C10" s="281"/>
      <c r="D10" s="279" t="s">
        <v>322</v>
      </c>
      <c r="E10" s="279"/>
      <c r="F10" s="279"/>
      <c r="G10" s="279"/>
      <c r="H10" s="279"/>
      <c r="I10" s="279"/>
      <c r="J10" s="279"/>
      <c r="K10" s="279"/>
      <c r="L10" s="279"/>
      <c r="M10" s="397" t="s">
        <v>323</v>
      </c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7"/>
      <c r="AA10" s="321" t="s">
        <v>319</v>
      </c>
      <c r="AB10" s="322"/>
      <c r="AC10" s="322"/>
      <c r="AD10" s="322"/>
      <c r="AE10" s="322"/>
      <c r="AF10" s="322"/>
      <c r="AG10" s="322"/>
      <c r="AH10" s="330"/>
      <c r="AI10" s="270"/>
    </row>
    <row r="11" ht="49.5" customHeight="1" spans="1:35">
      <c r="A11" s="275"/>
      <c r="B11" s="280">
        <v>4</v>
      </c>
      <c r="C11" s="281"/>
      <c r="D11" s="279" t="s">
        <v>324</v>
      </c>
      <c r="E11" s="279"/>
      <c r="F11" s="279"/>
      <c r="G11" s="279"/>
      <c r="H11" s="279"/>
      <c r="I11" s="279"/>
      <c r="J11" s="279"/>
      <c r="K11" s="279"/>
      <c r="L11" s="279"/>
      <c r="M11" s="397" t="s">
        <v>325</v>
      </c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21" t="s">
        <v>319</v>
      </c>
      <c r="AB11" s="322"/>
      <c r="AC11" s="322"/>
      <c r="AD11" s="322"/>
      <c r="AE11" s="322"/>
      <c r="AF11" s="322"/>
      <c r="AG11" s="322"/>
      <c r="AH11" s="330"/>
      <c r="AI11" s="270"/>
    </row>
    <row r="12" ht="26.25" customHeight="1" spans="1:35">
      <c r="A12" s="275"/>
      <c r="B12" s="280" t="s">
        <v>50</v>
      </c>
      <c r="C12" s="281"/>
      <c r="D12" s="279" t="s">
        <v>61</v>
      </c>
      <c r="E12" s="279"/>
      <c r="F12" s="279"/>
      <c r="G12" s="279"/>
      <c r="H12" s="279"/>
      <c r="I12" s="279"/>
      <c r="J12" s="279"/>
      <c r="K12" s="279"/>
      <c r="L12" s="279"/>
      <c r="M12" s="279" t="s">
        <v>326</v>
      </c>
      <c r="N12" s="279"/>
      <c r="O12" s="279"/>
      <c r="P12" s="279"/>
      <c r="Q12" s="279" t="s">
        <v>63</v>
      </c>
      <c r="R12" s="279"/>
      <c r="S12" s="279"/>
      <c r="T12" s="279"/>
      <c r="U12" s="279"/>
      <c r="V12" s="279"/>
      <c r="W12" s="279"/>
      <c r="X12" s="279"/>
      <c r="Y12" s="279"/>
      <c r="Z12" s="279"/>
      <c r="AA12" s="300" t="s">
        <v>64</v>
      </c>
      <c r="AB12" s="301"/>
      <c r="AC12" s="301"/>
      <c r="AD12" s="301"/>
      <c r="AE12" s="301"/>
      <c r="AF12" s="301"/>
      <c r="AG12" s="301"/>
      <c r="AH12" s="328"/>
      <c r="AI12" s="270"/>
    </row>
    <row r="13" ht="39" customHeight="1" spans="1:35">
      <c r="A13" s="275"/>
      <c r="B13" s="280">
        <v>1</v>
      </c>
      <c r="C13" s="281"/>
      <c r="D13" s="279" t="s">
        <v>327</v>
      </c>
      <c r="E13" s="279"/>
      <c r="F13" s="279"/>
      <c r="G13" s="279"/>
      <c r="H13" s="279"/>
      <c r="I13" s="279"/>
      <c r="J13" s="279"/>
      <c r="K13" s="279"/>
      <c r="L13" s="279"/>
      <c r="M13" s="279" t="s">
        <v>328</v>
      </c>
      <c r="N13" s="279"/>
      <c r="O13" s="279"/>
      <c r="P13" s="279"/>
      <c r="Q13" s="312" t="s">
        <v>329</v>
      </c>
      <c r="R13" s="312" t="s">
        <v>329</v>
      </c>
      <c r="S13" s="312" t="s">
        <v>329</v>
      </c>
      <c r="T13" s="312" t="s">
        <v>329</v>
      </c>
      <c r="U13" s="312" t="s">
        <v>329</v>
      </c>
      <c r="V13" s="312" t="s">
        <v>329</v>
      </c>
      <c r="W13" s="312" t="s">
        <v>329</v>
      </c>
      <c r="X13" s="312" t="s">
        <v>329</v>
      </c>
      <c r="Y13" s="312" t="s">
        <v>329</v>
      </c>
      <c r="Z13" s="312" t="s">
        <v>329</v>
      </c>
      <c r="AA13" s="323" t="e">
        <f>(COUNTIF(Q13:Z13,"&gt;=-30")-COUNTIF(Q13:Z13,"&gt;30"))/COUNT(Q13:Z13)</f>
        <v>#DIV/0!</v>
      </c>
      <c r="AB13" s="324"/>
      <c r="AC13" s="324"/>
      <c r="AD13" s="324"/>
      <c r="AE13" s="324"/>
      <c r="AF13" s="324"/>
      <c r="AG13" s="324"/>
      <c r="AH13" s="331"/>
      <c r="AI13" s="270"/>
    </row>
    <row r="14" ht="37" customHeight="1" spans="1:35">
      <c r="A14" s="275"/>
      <c r="B14" s="280">
        <v>2</v>
      </c>
      <c r="C14" s="281"/>
      <c r="D14" s="279" t="s">
        <v>330</v>
      </c>
      <c r="E14" s="279"/>
      <c r="F14" s="279"/>
      <c r="G14" s="279"/>
      <c r="H14" s="279"/>
      <c r="I14" s="279"/>
      <c r="J14" s="279"/>
      <c r="K14" s="279"/>
      <c r="L14" s="279"/>
      <c r="M14" s="279" t="s">
        <v>331</v>
      </c>
      <c r="N14" s="279"/>
      <c r="O14" s="279"/>
      <c r="P14" s="279"/>
      <c r="Q14" s="312" t="s">
        <v>332</v>
      </c>
      <c r="R14" s="312" t="s">
        <v>332</v>
      </c>
      <c r="S14" s="312" t="s">
        <v>332</v>
      </c>
      <c r="T14" s="312" t="s">
        <v>332</v>
      </c>
      <c r="U14" s="312" t="s">
        <v>332</v>
      </c>
      <c r="V14" s="312" t="s">
        <v>332</v>
      </c>
      <c r="W14" s="312" t="s">
        <v>332</v>
      </c>
      <c r="X14" s="312" t="s">
        <v>332</v>
      </c>
      <c r="Y14" s="312" t="s">
        <v>332</v>
      </c>
      <c r="Z14" s="312" t="s">
        <v>332</v>
      </c>
      <c r="AA14" s="323" t="e">
        <f>(COUNTIF(Q14:Z14,"&gt;=-80")-COUNTIF(Q14:Z14,"&gt;80"))/COUNT(Q14:Z14)</f>
        <v>#DIV/0!</v>
      </c>
      <c r="AB14" s="324"/>
      <c r="AC14" s="324"/>
      <c r="AD14" s="324"/>
      <c r="AE14" s="324"/>
      <c r="AF14" s="324"/>
      <c r="AG14" s="324"/>
      <c r="AH14" s="331"/>
      <c r="AI14" s="270"/>
    </row>
    <row r="15" ht="37" customHeight="1" spans="1:35">
      <c r="A15" s="275"/>
      <c r="B15" s="280">
        <v>3</v>
      </c>
      <c r="C15" s="281"/>
      <c r="D15" s="279" t="s">
        <v>333</v>
      </c>
      <c r="E15" s="279"/>
      <c r="F15" s="279"/>
      <c r="G15" s="279"/>
      <c r="H15" s="279"/>
      <c r="I15" s="279"/>
      <c r="J15" s="279"/>
      <c r="K15" s="279"/>
      <c r="L15" s="279"/>
      <c r="M15" s="279" t="s">
        <v>334</v>
      </c>
      <c r="N15" s="279"/>
      <c r="O15" s="279"/>
      <c r="P15" s="279"/>
      <c r="Q15" s="312" t="s">
        <v>335</v>
      </c>
      <c r="R15" s="312" t="s">
        <v>335</v>
      </c>
      <c r="S15" s="312" t="s">
        <v>335</v>
      </c>
      <c r="T15" s="312" t="s">
        <v>335</v>
      </c>
      <c r="U15" s="312" t="s">
        <v>335</v>
      </c>
      <c r="V15" s="312" t="s">
        <v>335</v>
      </c>
      <c r="W15" s="312" t="s">
        <v>335</v>
      </c>
      <c r="X15" s="312" t="s">
        <v>335</v>
      </c>
      <c r="Y15" s="312" t="s">
        <v>335</v>
      </c>
      <c r="Z15" s="312" t="s">
        <v>335</v>
      </c>
      <c r="AA15" s="323" t="e">
        <f>(COUNTIF(Q15:Z15,"&gt;=-50")-COUNTIF(Q15:Z15,"&gt;50"))/COUNT(Q15:Z15)</f>
        <v>#DIV/0!</v>
      </c>
      <c r="AB15" s="324"/>
      <c r="AC15" s="324"/>
      <c r="AD15" s="324"/>
      <c r="AE15" s="324"/>
      <c r="AF15" s="324"/>
      <c r="AG15" s="324"/>
      <c r="AH15" s="331"/>
      <c r="AI15" s="270"/>
    </row>
    <row r="16" ht="26.25" customHeight="1" spans="1:35">
      <c r="A16" s="275"/>
      <c r="B16" s="282" t="s">
        <v>78</v>
      </c>
      <c r="C16" s="283"/>
      <c r="D16" s="284"/>
      <c r="E16" s="285" t="s">
        <v>336</v>
      </c>
      <c r="F16" s="285"/>
      <c r="G16" s="286" t="s">
        <v>79</v>
      </c>
      <c r="H16" s="286"/>
      <c r="I16" s="286"/>
      <c r="J16" s="286"/>
      <c r="K16" s="285" t="e">
        <f>SUM(AA13:AH15)*10</f>
        <v>#DIV/0!</v>
      </c>
      <c r="L16" s="285"/>
      <c r="M16" s="304" t="s">
        <v>80</v>
      </c>
      <c r="N16" s="304"/>
      <c r="O16" s="304"/>
      <c r="P16" s="304"/>
      <c r="Q16" s="313" t="e">
        <f>AVERAGE(AA14:AH15)*100</f>
        <v>#DIV/0!</v>
      </c>
      <c r="R16" s="285"/>
      <c r="S16" s="314" t="s">
        <v>81</v>
      </c>
      <c r="T16" s="315"/>
      <c r="U16" s="315"/>
      <c r="V16" s="315"/>
      <c r="W16" s="315"/>
      <c r="X16" s="315"/>
      <c r="Y16" s="315"/>
      <c r="Z16" s="315"/>
      <c r="AA16" s="325"/>
      <c r="AB16" s="326"/>
      <c r="AC16" s="326"/>
      <c r="AD16" s="326"/>
      <c r="AE16" s="326"/>
      <c r="AF16" s="326"/>
      <c r="AG16" s="326"/>
      <c r="AH16" s="332"/>
      <c r="AI16" s="270"/>
    </row>
    <row r="17" ht="3.75" customHeight="1" spans="1:35">
      <c r="A17" s="275"/>
      <c r="B17" s="287"/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333"/>
      <c r="AI17" s="270"/>
    </row>
    <row r="18" ht="21" customHeight="1" spans="1:35">
      <c r="A18" s="275"/>
      <c r="B18" s="289" t="s">
        <v>82</v>
      </c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334"/>
      <c r="AI18" s="270"/>
    </row>
    <row r="19" ht="26.25" customHeight="1" spans="1:35">
      <c r="A19" s="275"/>
      <c r="B19" s="287"/>
      <c r="C19" s="288"/>
      <c r="D19" s="288"/>
      <c r="E19" s="288"/>
      <c r="F19" s="288"/>
      <c r="G19" s="288"/>
      <c r="H19" s="291" t="s">
        <v>13</v>
      </c>
      <c r="I19" s="288" t="s">
        <v>83</v>
      </c>
      <c r="J19" s="288"/>
      <c r="K19" s="288"/>
      <c r="L19" s="288"/>
      <c r="M19" s="291" t="s">
        <v>13</v>
      </c>
      <c r="N19" s="305" t="s">
        <v>84</v>
      </c>
      <c r="O19" s="305"/>
      <c r="P19" s="305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333"/>
      <c r="AI19" s="270"/>
    </row>
    <row r="20" ht="26.25" customHeight="1" spans="1:35">
      <c r="A20" s="275"/>
      <c r="B20" s="278" t="s">
        <v>85</v>
      </c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300" t="s">
        <v>86</v>
      </c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28"/>
      <c r="AI20" s="270"/>
    </row>
    <row r="21" ht="26.25" customHeight="1" spans="1:35">
      <c r="A21" s="275"/>
      <c r="B21" s="289" t="s">
        <v>87</v>
      </c>
      <c r="C21" s="290"/>
      <c r="D21" s="290"/>
      <c r="E21" s="292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316" t="s">
        <v>88</v>
      </c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334"/>
      <c r="AI21" s="270"/>
    </row>
    <row r="22" ht="26.25" customHeight="1" spans="1:35">
      <c r="A22" s="275"/>
      <c r="B22" s="294" t="s">
        <v>89</v>
      </c>
      <c r="C22" s="295"/>
      <c r="D22" s="295"/>
      <c r="E22" s="295"/>
      <c r="F22" s="295"/>
      <c r="G22" s="273"/>
      <c r="H22" s="273"/>
      <c r="I22" s="306"/>
      <c r="J22" s="307"/>
      <c r="K22" s="307"/>
      <c r="L22" s="307"/>
      <c r="M22" s="307"/>
      <c r="N22" s="307"/>
      <c r="O22" s="307"/>
      <c r="P22" s="307"/>
      <c r="Q22" s="307"/>
      <c r="R22" s="317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335"/>
      <c r="AI22" s="270"/>
    </row>
    <row r="23" ht="26.25" customHeight="1" spans="1:35">
      <c r="A23" s="275"/>
      <c r="B23" s="296"/>
      <c r="C23" s="297"/>
      <c r="D23" s="297"/>
      <c r="E23" s="297"/>
      <c r="F23" s="297"/>
      <c r="G23" s="297"/>
      <c r="H23" s="297"/>
      <c r="I23" s="297"/>
      <c r="J23" s="308" t="s">
        <v>26</v>
      </c>
      <c r="K23" s="297"/>
      <c r="L23" s="297"/>
      <c r="M23" s="297"/>
      <c r="N23" s="297"/>
      <c r="O23" s="297"/>
      <c r="P23" s="297"/>
      <c r="Q23" s="318"/>
      <c r="R23" s="319"/>
      <c r="S23" s="297"/>
      <c r="T23" s="297"/>
      <c r="U23" s="297"/>
      <c r="V23" s="297"/>
      <c r="W23" s="297"/>
      <c r="X23" s="297"/>
      <c r="Y23" s="297"/>
      <c r="Z23" s="308" t="s">
        <v>26</v>
      </c>
      <c r="AA23" s="297"/>
      <c r="AB23" s="297"/>
      <c r="AC23" s="297"/>
      <c r="AD23" s="297"/>
      <c r="AE23" s="297"/>
      <c r="AF23" s="297"/>
      <c r="AG23" s="297"/>
      <c r="AH23" s="336"/>
      <c r="AI23" s="270"/>
    </row>
    <row r="24" ht="22.5" customHeight="1" spans="1:35">
      <c r="A24" s="270"/>
      <c r="B24" s="295" t="s">
        <v>90</v>
      </c>
      <c r="C24" s="295"/>
      <c r="D24" s="295"/>
      <c r="E24" s="295"/>
      <c r="F24" s="295"/>
      <c r="G24" s="295"/>
      <c r="H24" s="295"/>
      <c r="I24" s="295"/>
      <c r="J24" s="309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309"/>
      <c r="AB24" s="295"/>
      <c r="AC24" s="295"/>
      <c r="AD24" s="295"/>
      <c r="AE24" s="295"/>
      <c r="AF24" s="295"/>
      <c r="AG24" s="295"/>
      <c r="AH24" s="295"/>
      <c r="AI24" s="270"/>
    </row>
    <row r="25" ht="3.75" customHeight="1" spans="1:35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  <c r="AA25" s="270"/>
      <c r="AB25" s="270"/>
      <c r="AC25" s="270"/>
      <c r="AD25" s="270"/>
      <c r="AE25" s="270"/>
      <c r="AF25" s="270"/>
      <c r="AG25" s="270"/>
      <c r="AH25" s="270"/>
      <c r="AI25" s="270"/>
    </row>
  </sheetData>
  <mergeCells count="85">
    <mergeCell ref="B1:AH1"/>
    <mergeCell ref="J2:P2"/>
    <mergeCell ref="Q2:AA2"/>
    <mergeCell ref="B3:E3"/>
    <mergeCell ref="F3:T3"/>
    <mergeCell ref="Z3:AH3"/>
    <mergeCell ref="B4:L4"/>
    <mergeCell ref="M4:V4"/>
    <mergeCell ref="W4:Z4"/>
    <mergeCell ref="AA4:AH4"/>
    <mergeCell ref="B5:L5"/>
    <mergeCell ref="M5:V5"/>
    <mergeCell ref="W5:Z5"/>
    <mergeCell ref="AA5:AH5"/>
    <mergeCell ref="B6:L6"/>
    <mergeCell ref="M6:X6"/>
    <mergeCell ref="Y6:AH6"/>
    <mergeCell ref="B7:C7"/>
    <mergeCell ref="D7:L7"/>
    <mergeCell ref="M7:Z7"/>
    <mergeCell ref="AA7:AH7"/>
    <mergeCell ref="B8:C8"/>
    <mergeCell ref="D8:L8"/>
    <mergeCell ref="M8:Z8"/>
    <mergeCell ref="AA8:AH8"/>
    <mergeCell ref="B9:C9"/>
    <mergeCell ref="D9:L9"/>
    <mergeCell ref="M9:Z9"/>
    <mergeCell ref="AA9:AH9"/>
    <mergeCell ref="B10:C10"/>
    <mergeCell ref="D10:L10"/>
    <mergeCell ref="M10:Z10"/>
    <mergeCell ref="AA10:AH10"/>
    <mergeCell ref="B11:C11"/>
    <mergeCell ref="D11:L11"/>
    <mergeCell ref="M11:Z11"/>
    <mergeCell ref="AA11:AH11"/>
    <mergeCell ref="B12:C12"/>
    <mergeCell ref="D12:L12"/>
    <mergeCell ref="M12:P12"/>
    <mergeCell ref="Q12:Z12"/>
    <mergeCell ref="AA12:AH12"/>
    <mergeCell ref="B13:C13"/>
    <mergeCell ref="D13:L13"/>
    <mergeCell ref="M13:P13"/>
    <mergeCell ref="AA13:AH13"/>
    <mergeCell ref="B14:C14"/>
    <mergeCell ref="D14:L14"/>
    <mergeCell ref="M14:P14"/>
    <mergeCell ref="AA14:AH14"/>
    <mergeCell ref="B15:C15"/>
    <mergeCell ref="D15:L15"/>
    <mergeCell ref="M15:P15"/>
    <mergeCell ref="AA15:AH15"/>
    <mergeCell ref="B16:D16"/>
    <mergeCell ref="E16:F16"/>
    <mergeCell ref="G16:J16"/>
    <mergeCell ref="K16:L16"/>
    <mergeCell ref="M16:P16"/>
    <mergeCell ref="Q16:R16"/>
    <mergeCell ref="S16:AH16"/>
    <mergeCell ref="B17:AH17"/>
    <mergeCell ref="B18:AH18"/>
    <mergeCell ref="B19:G19"/>
    <mergeCell ref="I19:J19"/>
    <mergeCell ref="K19:L19"/>
    <mergeCell ref="N19:P19"/>
    <mergeCell ref="Q19:AH19"/>
    <mergeCell ref="B20:Q20"/>
    <mergeCell ref="R20:AH20"/>
    <mergeCell ref="B21:D21"/>
    <mergeCell ref="E21:Q21"/>
    <mergeCell ref="R21:U21"/>
    <mergeCell ref="V21:AH21"/>
    <mergeCell ref="B22:H22"/>
    <mergeCell ref="I22:Q22"/>
    <mergeCell ref="R22:AH22"/>
    <mergeCell ref="B23:I23"/>
    <mergeCell ref="J23:Q23"/>
    <mergeCell ref="R23:Y23"/>
    <mergeCell ref="Z23:AH23"/>
    <mergeCell ref="B24:AH24"/>
    <mergeCell ref="B25:AH25"/>
    <mergeCell ref="A1:A25"/>
    <mergeCell ref="AI1:AI25"/>
  </mergeCells>
  <pageMargins left="0.75" right="0.16" top="1" bottom="0.21" header="0.5" footer="0.5"/>
  <pageSetup paperSize="9" scale="95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1"/>
  <sheetViews>
    <sheetView view="pageBreakPreview" zoomScaleNormal="100" topLeftCell="A3" workbookViewId="0">
      <selection activeCell="A32" sqref="$A32:$XFD32"/>
    </sheetView>
  </sheetViews>
  <sheetFormatPr defaultColWidth="9.24761904761905" defaultRowHeight="12"/>
  <cols>
    <col min="1" max="1" width="0.838095238095238" customWidth="1"/>
    <col min="2" max="2" width="2.71428571428571" customWidth="1"/>
    <col min="3" max="3" width="2" customWidth="1"/>
    <col min="4" max="6" width="2.71428571428571" customWidth="1"/>
    <col min="7" max="7" width="2.83809523809524" customWidth="1"/>
    <col min="8" max="8" width="3.13333333333333" customWidth="1"/>
    <col min="9" max="9" width="2.71428571428571" customWidth="1"/>
    <col min="10" max="12" width="2.83809523809524" customWidth="1"/>
    <col min="13" max="13" width="2.13333333333333" customWidth="1"/>
    <col min="14" max="14" width="2.83809523809524" customWidth="1"/>
    <col min="15" max="15" width="3.71428571428571" customWidth="1"/>
    <col min="16" max="16" width="3" customWidth="1"/>
    <col min="17" max="17" width="3.13333333333333" customWidth="1"/>
    <col min="18" max="18" width="3.83809523809524" customWidth="1"/>
    <col min="19" max="19" width="3.42857142857143" customWidth="1"/>
    <col min="20" max="33" width="2.71428571428571" customWidth="1"/>
    <col min="34" max="37" width="2.42857142857143" customWidth="1"/>
    <col min="38" max="38" width="1" customWidth="1"/>
    <col min="39" max="39" width="9.24761904761905" hidden="1" customWidth="1"/>
  </cols>
  <sheetData>
    <row r="1" ht="3" customHeight="1" spans="1:39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</row>
    <row r="2" ht="35.25" customHeight="1" spans="1:39">
      <c r="A2" s="273"/>
      <c r="B2" s="337"/>
      <c r="C2" s="337"/>
      <c r="D2" s="337"/>
      <c r="E2" s="337"/>
      <c r="F2" s="337"/>
      <c r="G2" s="338" t="s">
        <v>337</v>
      </c>
      <c r="H2" s="338"/>
      <c r="I2" s="338"/>
      <c r="J2" s="338"/>
      <c r="K2" s="338"/>
      <c r="L2" s="338"/>
      <c r="M2" s="338"/>
      <c r="N2" s="338"/>
      <c r="O2" s="338"/>
      <c r="P2" s="364"/>
      <c r="Q2" s="364"/>
      <c r="R2" s="373"/>
      <c r="S2" s="374"/>
      <c r="T2" s="374" t="s">
        <v>2</v>
      </c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83"/>
      <c r="AK2" s="383"/>
      <c r="AL2" s="273"/>
      <c r="AM2" s="273"/>
    </row>
    <row r="3" ht="9" customHeight="1" spans="1:39">
      <c r="A3" s="273"/>
      <c r="B3" s="271"/>
      <c r="C3" s="271"/>
      <c r="D3" s="271"/>
      <c r="E3" s="271"/>
      <c r="F3" s="271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  <c r="AL3" s="273"/>
      <c r="AM3" s="273"/>
    </row>
    <row r="4" ht="17.25" customHeight="1" spans="1:39">
      <c r="A4" s="273"/>
      <c r="B4" s="340" t="s">
        <v>3</v>
      </c>
      <c r="C4" s="340"/>
      <c r="D4" s="341"/>
      <c r="E4" s="341"/>
      <c r="F4" s="340"/>
      <c r="G4" s="340"/>
      <c r="H4" s="340"/>
      <c r="I4" s="340"/>
      <c r="J4" s="340"/>
      <c r="K4" s="273"/>
      <c r="L4" s="273"/>
      <c r="M4" s="273"/>
      <c r="N4" s="273"/>
      <c r="O4" s="273" t="s">
        <v>4</v>
      </c>
      <c r="P4" s="340"/>
      <c r="Q4" s="340" t="s">
        <v>5</v>
      </c>
      <c r="R4" s="352"/>
      <c r="S4" s="273"/>
      <c r="T4" s="273"/>
      <c r="U4" s="273" t="s">
        <v>6</v>
      </c>
      <c r="V4" s="273"/>
      <c r="W4" s="273"/>
      <c r="X4" s="352"/>
      <c r="Y4" s="273"/>
      <c r="Z4" s="295" t="s">
        <v>7</v>
      </c>
      <c r="AA4" s="295"/>
      <c r="AB4" s="273"/>
      <c r="AC4" s="273"/>
      <c r="AD4" s="295"/>
      <c r="AE4" s="295"/>
      <c r="AF4" s="295"/>
      <c r="AG4" s="295"/>
      <c r="AH4" s="295"/>
      <c r="AI4" s="295"/>
      <c r="AJ4" s="295"/>
      <c r="AK4" s="295"/>
      <c r="AL4" s="273"/>
      <c r="AM4" s="273"/>
    </row>
    <row r="5" ht="30" customHeight="1" spans="1:39">
      <c r="A5" s="273"/>
      <c r="B5" s="273" t="s">
        <v>8</v>
      </c>
      <c r="C5" s="273"/>
      <c r="D5" s="273"/>
      <c r="E5" s="273"/>
      <c r="F5" s="273"/>
      <c r="G5" s="273"/>
      <c r="H5" s="295" t="s">
        <v>9</v>
      </c>
      <c r="I5" s="295"/>
      <c r="J5" s="295"/>
      <c r="K5" s="295"/>
      <c r="L5" s="295"/>
      <c r="M5" s="295"/>
      <c r="N5" s="295"/>
      <c r="O5" s="365"/>
      <c r="P5" s="365"/>
      <c r="Q5" s="365"/>
      <c r="R5" s="365"/>
      <c r="S5" s="365"/>
      <c r="T5" s="295"/>
      <c r="U5" s="295"/>
      <c r="V5" s="295"/>
      <c r="W5" s="295"/>
      <c r="X5" s="295"/>
      <c r="Y5" s="273" t="s">
        <v>10</v>
      </c>
      <c r="Z5" s="379"/>
      <c r="AA5" s="379"/>
      <c r="AB5" s="379"/>
      <c r="AC5" s="270"/>
      <c r="AD5" s="273"/>
      <c r="AE5" s="273"/>
      <c r="AF5" s="273"/>
      <c r="AG5" s="273"/>
      <c r="AH5" s="273"/>
      <c r="AI5" s="273"/>
      <c r="AJ5" s="273"/>
      <c r="AK5" s="273"/>
      <c r="AL5" s="273"/>
      <c r="AM5" s="273"/>
    </row>
    <row r="6" ht="3.75" customHeight="1" spans="1:39">
      <c r="A6" s="273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/>
      <c r="AJ6" s="297"/>
      <c r="AK6" s="384"/>
      <c r="AL6" s="273"/>
      <c r="AM6" s="273"/>
    </row>
    <row r="7" ht="26.25" customHeight="1" spans="1:39">
      <c r="A7" s="335"/>
      <c r="B7" s="342" t="s">
        <v>11</v>
      </c>
      <c r="C7" s="343"/>
      <c r="D7" s="343"/>
      <c r="E7" s="343"/>
      <c r="F7" s="343"/>
      <c r="G7" s="343"/>
      <c r="H7" s="344" t="s">
        <v>12</v>
      </c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80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5"/>
      <c r="AL7" s="386"/>
      <c r="AM7" s="273"/>
    </row>
    <row r="8" ht="26.25" customHeight="1" spans="1:39">
      <c r="A8" s="335"/>
      <c r="B8" s="345"/>
      <c r="C8" s="346"/>
      <c r="D8" s="346"/>
      <c r="E8" s="347" t="str">
        <f>土方开挖评定表!L7</f>
        <v>2024HD10地块-@file_num田块</v>
      </c>
      <c r="F8" s="347"/>
      <c r="G8" s="347"/>
      <c r="H8" s="347"/>
      <c r="I8" s="347"/>
      <c r="J8" s="347"/>
      <c r="K8" s="347"/>
      <c r="L8" s="347"/>
      <c r="M8" s="364" t="str">
        <f>G2</f>
        <v>田块平整</v>
      </c>
      <c r="N8" s="364"/>
      <c r="O8" s="364"/>
      <c r="P8" s="272" t="s">
        <v>13</v>
      </c>
      <c r="Q8" s="346" t="s">
        <v>1</v>
      </c>
      <c r="R8" s="346"/>
      <c r="S8" s="272" t="s">
        <v>14</v>
      </c>
      <c r="T8" s="365" t="s">
        <v>15</v>
      </c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87"/>
      <c r="AJ8" s="270"/>
      <c r="AK8" s="275"/>
      <c r="AL8" s="386"/>
      <c r="AM8" s="273"/>
    </row>
    <row r="9" ht="24.75" customHeight="1" spans="1:39">
      <c r="A9" s="335"/>
      <c r="B9" s="348"/>
      <c r="C9" s="349" t="s">
        <v>16</v>
      </c>
      <c r="D9" s="349"/>
      <c r="E9" s="349"/>
      <c r="F9" s="349"/>
      <c r="G9" s="349"/>
      <c r="H9" s="349"/>
      <c r="I9" s="366"/>
      <c r="J9" s="367"/>
      <c r="K9" s="367"/>
      <c r="L9" s="367"/>
      <c r="M9" s="367"/>
      <c r="N9" s="367"/>
      <c r="O9" s="368"/>
      <c r="P9" s="367"/>
      <c r="Q9" s="367"/>
      <c r="R9" s="367"/>
      <c r="S9" s="367"/>
      <c r="T9" s="367"/>
      <c r="U9" s="367"/>
      <c r="V9" s="367"/>
      <c r="W9" s="367"/>
      <c r="X9" s="367"/>
      <c r="Y9" s="367"/>
      <c r="Z9" s="367"/>
      <c r="AA9" s="367"/>
      <c r="AB9" s="367"/>
      <c r="AC9" s="367"/>
      <c r="AD9" s="367"/>
      <c r="AE9" s="367"/>
      <c r="AF9" s="367"/>
      <c r="AG9" s="367"/>
      <c r="AH9" s="367"/>
      <c r="AI9" s="367"/>
      <c r="AJ9" s="367"/>
      <c r="AK9" s="388"/>
      <c r="AL9" s="386"/>
      <c r="AM9" s="273"/>
    </row>
    <row r="10" ht="33.75" customHeight="1" spans="1:39">
      <c r="A10" s="335"/>
      <c r="B10" s="348"/>
      <c r="C10" s="273"/>
      <c r="D10" s="273"/>
      <c r="E10" s="350" t="s">
        <v>17</v>
      </c>
      <c r="F10" s="349"/>
      <c r="G10" s="351" t="s">
        <v>18</v>
      </c>
      <c r="H10" s="352"/>
      <c r="I10" s="364"/>
      <c r="J10" s="364"/>
      <c r="K10" s="364"/>
      <c r="L10" s="364"/>
      <c r="M10" s="364"/>
      <c r="N10" s="364"/>
      <c r="O10" s="364"/>
      <c r="P10" s="364"/>
      <c r="Q10" s="376"/>
      <c r="R10" s="376"/>
      <c r="S10" s="376"/>
      <c r="T10" s="376"/>
      <c r="U10" s="376"/>
      <c r="V10" s="376"/>
      <c r="W10" s="376"/>
      <c r="X10" s="349" t="s">
        <v>19</v>
      </c>
      <c r="Y10" s="349"/>
      <c r="Z10" s="349"/>
      <c r="AA10" s="349"/>
      <c r="AB10" s="349"/>
      <c r="AC10" s="349"/>
      <c r="AD10" s="349"/>
      <c r="AE10" s="349"/>
      <c r="AF10" s="349"/>
      <c r="AG10" s="349"/>
      <c r="AH10" s="349"/>
      <c r="AI10" s="349"/>
      <c r="AJ10" s="349"/>
      <c r="AK10" s="389"/>
      <c r="AL10" s="294"/>
      <c r="AM10" s="295">
        <v>0</v>
      </c>
    </row>
    <row r="11" ht="33.75" customHeight="1" spans="1:39">
      <c r="A11" s="335"/>
      <c r="B11" s="348"/>
      <c r="C11" s="273"/>
      <c r="D11" s="273"/>
      <c r="E11" s="352"/>
      <c r="F11" s="273"/>
      <c r="G11" s="351" t="s">
        <v>18</v>
      </c>
      <c r="H11" s="352"/>
      <c r="I11" s="285"/>
      <c r="J11" s="285"/>
      <c r="K11" s="285"/>
      <c r="L11" s="285"/>
      <c r="M11" s="285"/>
      <c r="N11" s="285"/>
      <c r="O11" s="285"/>
      <c r="P11" s="285"/>
      <c r="Q11" s="377"/>
      <c r="R11" s="377"/>
      <c r="S11" s="377"/>
      <c r="T11" s="377"/>
      <c r="U11" s="377"/>
      <c r="V11" s="377"/>
      <c r="W11" s="377"/>
      <c r="X11" s="349" t="s">
        <v>20</v>
      </c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89"/>
      <c r="AL11" s="386"/>
      <c r="AM11" s="295">
        <v>0</v>
      </c>
    </row>
    <row r="12" ht="33.75" customHeight="1" spans="1:39">
      <c r="A12" s="335"/>
      <c r="B12" s="348"/>
      <c r="C12" s="273"/>
      <c r="D12" s="273"/>
      <c r="E12" s="352"/>
      <c r="F12" s="273"/>
      <c r="G12" s="351" t="s">
        <v>18</v>
      </c>
      <c r="H12" s="352"/>
      <c r="I12" s="285" t="s">
        <v>337</v>
      </c>
      <c r="J12" s="285"/>
      <c r="K12" s="285"/>
      <c r="L12" s="285"/>
      <c r="M12" s="285"/>
      <c r="N12" s="285"/>
      <c r="O12" s="285"/>
      <c r="P12" s="285"/>
      <c r="Q12" s="377"/>
      <c r="R12" s="377"/>
      <c r="S12" s="377"/>
      <c r="T12" s="377"/>
      <c r="U12" s="377"/>
      <c r="V12" s="377"/>
      <c r="W12" s="377"/>
      <c r="X12" s="349" t="s">
        <v>21</v>
      </c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89"/>
      <c r="AL12" s="386"/>
      <c r="AM12" s="295">
        <v>1</v>
      </c>
    </row>
    <row r="13" ht="33.75" customHeight="1" spans="1:39">
      <c r="A13" s="335"/>
      <c r="B13" s="348"/>
      <c r="C13" s="273"/>
      <c r="D13" s="273"/>
      <c r="E13" s="352"/>
      <c r="F13" s="273"/>
      <c r="G13" s="351" t="s">
        <v>18</v>
      </c>
      <c r="H13" s="352"/>
      <c r="I13" s="285"/>
      <c r="J13" s="285"/>
      <c r="K13" s="285"/>
      <c r="L13" s="285"/>
      <c r="M13" s="285"/>
      <c r="N13" s="285"/>
      <c r="O13" s="285"/>
      <c r="P13" s="285"/>
      <c r="Q13" s="377"/>
      <c r="R13" s="377"/>
      <c r="S13" s="377"/>
      <c r="T13" s="377"/>
      <c r="U13" s="377"/>
      <c r="V13" s="377"/>
      <c r="W13" s="377"/>
      <c r="X13" s="349" t="s">
        <v>22</v>
      </c>
      <c r="Y13" s="349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89"/>
      <c r="AL13" s="386"/>
      <c r="AM13" s="295">
        <v>0</v>
      </c>
    </row>
    <row r="14" ht="17.25" customHeight="1" spans="1:39">
      <c r="A14" s="335"/>
      <c r="B14" s="353"/>
      <c r="C14" s="354"/>
      <c r="D14" s="354"/>
      <c r="E14" s="355"/>
      <c r="F14" s="354"/>
      <c r="G14" s="354"/>
      <c r="H14" s="355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90"/>
      <c r="AL14" s="386"/>
      <c r="AM14" s="273"/>
    </row>
    <row r="15" ht="15" customHeight="1" spans="1:39">
      <c r="A15" s="335"/>
      <c r="B15" s="353"/>
      <c r="C15" s="354"/>
      <c r="D15" s="354"/>
      <c r="E15" s="355"/>
      <c r="F15" s="354"/>
      <c r="G15" s="354"/>
      <c r="H15" s="355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4"/>
      <c r="AK15" s="390"/>
      <c r="AL15" s="386"/>
      <c r="AM15" s="273"/>
    </row>
    <row r="16" ht="9" customHeight="1" spans="1:39">
      <c r="A16" s="335"/>
      <c r="B16" s="353"/>
      <c r="C16" s="354"/>
      <c r="D16" s="354"/>
      <c r="E16" s="355"/>
      <c r="F16" s="354"/>
      <c r="G16" s="354"/>
      <c r="H16" s="355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  <c r="AA16" s="354"/>
      <c r="AB16" s="354"/>
      <c r="AC16" s="354"/>
      <c r="AD16" s="354"/>
      <c r="AE16" s="354"/>
      <c r="AF16" s="354"/>
      <c r="AG16" s="354"/>
      <c r="AH16" s="354"/>
      <c r="AI16" s="354"/>
      <c r="AJ16" s="354"/>
      <c r="AK16" s="390"/>
      <c r="AL16" s="386"/>
      <c r="AM16" s="273"/>
    </row>
    <row r="17" ht="17.25" customHeight="1" spans="1:39">
      <c r="A17" s="335"/>
      <c r="B17" s="353"/>
      <c r="C17" s="354"/>
      <c r="D17" s="354"/>
      <c r="E17" s="355"/>
      <c r="F17" s="354"/>
      <c r="G17" s="354"/>
      <c r="H17" s="355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D17" s="354"/>
      <c r="AE17" s="354"/>
      <c r="AF17" s="354"/>
      <c r="AG17" s="354"/>
      <c r="AH17" s="354"/>
      <c r="AI17" s="354"/>
      <c r="AJ17" s="354"/>
      <c r="AK17" s="390"/>
      <c r="AL17" s="386"/>
      <c r="AM17" s="273"/>
    </row>
    <row r="18" ht="33.75" customHeight="1" spans="1:39">
      <c r="A18" s="335"/>
      <c r="B18" s="356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370"/>
      <c r="P18" s="295" t="s">
        <v>23</v>
      </c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372"/>
      <c r="AG18" s="295"/>
      <c r="AH18" s="295"/>
      <c r="AI18" s="295"/>
      <c r="AJ18" s="295"/>
      <c r="AK18" s="391"/>
      <c r="AL18" s="386"/>
      <c r="AM18" s="273"/>
    </row>
    <row r="19" ht="24" customHeight="1" spans="1:39">
      <c r="A19" s="335"/>
      <c r="B19" s="356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370"/>
      <c r="P19" s="295" t="s">
        <v>24</v>
      </c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372"/>
      <c r="AG19" s="295"/>
      <c r="AH19" s="295"/>
      <c r="AI19" s="295"/>
      <c r="AJ19" s="295"/>
      <c r="AK19" s="391"/>
      <c r="AL19" s="386"/>
      <c r="AM19" s="273"/>
    </row>
    <row r="20" ht="24" customHeight="1" spans="1:39">
      <c r="A20" s="335"/>
      <c r="B20" s="357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71"/>
      <c r="P20" s="305" t="s">
        <v>25</v>
      </c>
      <c r="Q20" s="305"/>
      <c r="R20" s="305"/>
      <c r="S20" s="305"/>
      <c r="T20" s="378" t="s">
        <v>26</v>
      </c>
      <c r="U20" s="288"/>
      <c r="V20" s="288"/>
      <c r="W20" s="288"/>
      <c r="X20" s="288"/>
      <c r="Y20" s="333"/>
      <c r="Z20" s="333"/>
      <c r="AA20" s="333"/>
      <c r="AB20" s="288"/>
      <c r="AC20" s="288"/>
      <c r="AD20" s="288"/>
      <c r="AE20" s="288"/>
      <c r="AF20" s="288"/>
      <c r="AG20" s="288"/>
      <c r="AH20" s="288"/>
      <c r="AI20" s="288"/>
      <c r="AJ20" s="288"/>
      <c r="AK20" s="333"/>
      <c r="AL20" s="386"/>
      <c r="AM20" s="273"/>
    </row>
    <row r="21" ht="22.5" customHeight="1" spans="1:39">
      <c r="A21" s="335"/>
      <c r="B21" s="353" t="s">
        <v>27</v>
      </c>
      <c r="C21" s="358"/>
      <c r="D21" s="359"/>
      <c r="E21" s="358"/>
      <c r="F21" s="295" t="s">
        <v>28</v>
      </c>
      <c r="G21" s="295"/>
      <c r="H21" s="273"/>
      <c r="I21" s="273"/>
      <c r="J21" s="273"/>
      <c r="K21" s="273"/>
      <c r="L21" s="273"/>
      <c r="M21" s="273"/>
      <c r="N21" s="273"/>
      <c r="O21" s="352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0"/>
      <c r="AD21" s="290"/>
      <c r="AE21" s="290"/>
      <c r="AF21" s="290"/>
      <c r="AG21" s="290"/>
      <c r="AH21" s="290"/>
      <c r="AI21" s="290"/>
      <c r="AJ21" s="290"/>
      <c r="AK21" s="334"/>
      <c r="AL21" s="386"/>
      <c r="AM21" s="273"/>
    </row>
    <row r="22" ht="48" customHeight="1" spans="1:39">
      <c r="A22" s="335"/>
      <c r="B22" s="353"/>
      <c r="C22" s="358"/>
      <c r="D22" s="359"/>
      <c r="E22" s="358"/>
      <c r="F22" s="273"/>
      <c r="G22" s="273"/>
      <c r="H22" s="273"/>
      <c r="I22" s="273"/>
      <c r="J22" s="273"/>
      <c r="K22" s="273"/>
      <c r="L22" s="273"/>
      <c r="M22" s="273"/>
      <c r="N22" s="273"/>
      <c r="O22" s="352"/>
      <c r="P22" s="273"/>
      <c r="Q22" s="273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391"/>
      <c r="AL22" s="386"/>
      <c r="AM22" s="273"/>
    </row>
    <row r="23" ht="22.5" customHeight="1" spans="1:39">
      <c r="A23" s="335"/>
      <c r="B23" s="353"/>
      <c r="C23" s="358"/>
      <c r="D23" s="359"/>
      <c r="E23" s="358"/>
      <c r="F23" s="351"/>
      <c r="G23" s="351" t="s">
        <v>13</v>
      </c>
      <c r="H23" s="295" t="s">
        <v>29</v>
      </c>
      <c r="I23" s="295"/>
      <c r="J23" s="295"/>
      <c r="K23" s="295"/>
      <c r="L23" s="295"/>
      <c r="M23" s="295"/>
      <c r="N23" s="295"/>
      <c r="O23" s="370"/>
      <c r="P23" s="295"/>
      <c r="Q23" s="270"/>
      <c r="R23" s="270"/>
      <c r="S23" s="270"/>
      <c r="T23" s="270"/>
      <c r="U23" s="351" t="s">
        <v>13</v>
      </c>
      <c r="V23" s="295"/>
      <c r="W23" s="295" t="s">
        <v>30</v>
      </c>
      <c r="X23" s="295"/>
      <c r="Y23" s="295"/>
      <c r="Z23" s="295"/>
      <c r="AA23" s="295"/>
      <c r="AB23" s="295"/>
      <c r="AC23" s="295"/>
      <c r="AD23" s="370"/>
      <c r="AE23" s="295"/>
      <c r="AF23" s="295"/>
      <c r="AG23" s="295"/>
      <c r="AH23" s="295"/>
      <c r="AI23" s="295"/>
      <c r="AJ23" s="295"/>
      <c r="AK23" s="391"/>
      <c r="AL23" s="386"/>
      <c r="AM23" s="273"/>
    </row>
    <row r="24" ht="26.25" customHeight="1" spans="1:39">
      <c r="A24" s="335"/>
      <c r="B24" s="353"/>
      <c r="C24" s="358"/>
      <c r="D24" s="359"/>
      <c r="E24" s="358"/>
      <c r="F24" s="351"/>
      <c r="G24" s="351" t="s">
        <v>13</v>
      </c>
      <c r="H24" s="295" t="s">
        <v>31</v>
      </c>
      <c r="I24" s="295"/>
      <c r="J24" s="295"/>
      <c r="K24" s="295"/>
      <c r="L24" s="295"/>
      <c r="M24" s="295"/>
      <c r="N24" s="295"/>
      <c r="O24" s="370"/>
      <c r="P24" s="295"/>
      <c r="Q24" s="270"/>
      <c r="R24" s="270"/>
      <c r="S24" s="270"/>
      <c r="T24" s="270"/>
      <c r="U24" s="351" t="s">
        <v>13</v>
      </c>
      <c r="V24" s="295"/>
      <c r="W24" s="295" t="s">
        <v>32</v>
      </c>
      <c r="X24" s="295"/>
      <c r="Y24" s="295"/>
      <c r="Z24" s="295"/>
      <c r="AA24" s="295"/>
      <c r="AB24" s="295"/>
      <c r="AC24" s="295"/>
      <c r="AD24" s="370"/>
      <c r="AE24" s="295"/>
      <c r="AF24" s="295"/>
      <c r="AG24" s="295"/>
      <c r="AH24" s="295"/>
      <c r="AI24" s="295"/>
      <c r="AJ24" s="295"/>
      <c r="AK24" s="391"/>
      <c r="AL24" s="386"/>
      <c r="AM24" s="273"/>
    </row>
    <row r="25" ht="25.5" customHeight="1" spans="1:39">
      <c r="A25" s="335"/>
      <c r="B25" s="353"/>
      <c r="C25" s="358"/>
      <c r="D25" s="359"/>
      <c r="E25" s="358"/>
      <c r="F25" s="295"/>
      <c r="G25" s="295"/>
      <c r="H25" s="295"/>
      <c r="I25" s="295"/>
      <c r="J25" s="295"/>
      <c r="K25" s="295"/>
      <c r="L25" s="295"/>
      <c r="M25" s="295"/>
      <c r="N25" s="295"/>
      <c r="O25" s="370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391"/>
      <c r="AL25" s="386"/>
      <c r="AM25" s="273"/>
    </row>
    <row r="26" ht="25.5" customHeight="1" spans="1:39">
      <c r="A26" s="335"/>
      <c r="B26" s="353"/>
      <c r="C26" s="358"/>
      <c r="D26" s="359"/>
      <c r="E26" s="358"/>
      <c r="F26" s="295" t="s">
        <v>33</v>
      </c>
      <c r="G26" s="295"/>
      <c r="H26" s="295"/>
      <c r="I26" s="295"/>
      <c r="J26" s="295"/>
      <c r="K26" s="295"/>
      <c r="L26" s="295"/>
      <c r="M26" s="295"/>
      <c r="N26" s="295"/>
      <c r="O26" s="370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391"/>
      <c r="AL26" s="386"/>
      <c r="AM26" s="273"/>
    </row>
    <row r="27" ht="23.25" customHeight="1" spans="1:39">
      <c r="A27" s="335"/>
      <c r="B27" s="353"/>
      <c r="C27" s="358"/>
      <c r="D27" s="359"/>
      <c r="E27" s="358"/>
      <c r="F27" s="295"/>
      <c r="G27" s="295"/>
      <c r="H27" s="295"/>
      <c r="I27" s="295"/>
      <c r="J27" s="295"/>
      <c r="K27" s="295"/>
      <c r="L27" s="295"/>
      <c r="M27" s="295"/>
      <c r="N27" s="295"/>
      <c r="O27" s="370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391"/>
      <c r="AL27" s="386"/>
      <c r="AM27" s="273"/>
    </row>
    <row r="28" ht="33.75" customHeight="1" spans="1:39">
      <c r="A28" s="335"/>
      <c r="B28" s="353"/>
      <c r="C28" s="358"/>
      <c r="D28" s="359"/>
      <c r="E28" s="358"/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372" t="s">
        <v>34</v>
      </c>
      <c r="Q28" s="372"/>
      <c r="R28" s="372"/>
      <c r="S28" s="372"/>
      <c r="T28" s="372"/>
      <c r="U28" s="372"/>
      <c r="V28" s="372"/>
      <c r="W28" s="372"/>
      <c r="X28" s="295"/>
      <c r="Y28" s="295"/>
      <c r="Z28" s="295"/>
      <c r="AA28" s="295"/>
      <c r="AB28" s="295"/>
      <c r="AC28" s="372"/>
      <c r="AD28" s="295"/>
      <c r="AE28" s="295"/>
      <c r="AF28" s="295"/>
      <c r="AG28" s="295"/>
      <c r="AH28" s="391"/>
      <c r="AI28" s="365"/>
      <c r="AJ28" s="365"/>
      <c r="AK28" s="392"/>
      <c r="AL28" s="386"/>
      <c r="AM28" s="273"/>
    </row>
    <row r="29" ht="24" customHeight="1" spans="1:39">
      <c r="A29" s="335"/>
      <c r="B29" s="353"/>
      <c r="C29" s="358"/>
      <c r="D29" s="359"/>
      <c r="E29" s="358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 t="s">
        <v>35</v>
      </c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372"/>
      <c r="AG29" s="295"/>
      <c r="AH29" s="295"/>
      <c r="AI29" s="295"/>
      <c r="AJ29" s="295"/>
      <c r="AK29" s="391"/>
      <c r="AL29" s="386"/>
      <c r="AM29" s="273"/>
    </row>
    <row r="30" ht="24" customHeight="1" spans="1:39">
      <c r="A30" s="335"/>
      <c r="B30" s="360"/>
      <c r="C30" s="318"/>
      <c r="D30" s="361"/>
      <c r="E30" s="318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 t="s">
        <v>25</v>
      </c>
      <c r="Q30" s="362"/>
      <c r="R30" s="362"/>
      <c r="S30" s="362"/>
      <c r="T30" s="308" t="s">
        <v>26</v>
      </c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88"/>
      <c r="AI30" s="288"/>
      <c r="AJ30" s="288"/>
      <c r="AK30" s="333"/>
      <c r="AL30" s="386"/>
      <c r="AM30" s="273"/>
    </row>
    <row r="31" ht="21.75" customHeight="1" spans="1:39">
      <c r="A31" s="273"/>
      <c r="B31" s="343" t="s">
        <v>36</v>
      </c>
      <c r="C31" s="343"/>
      <c r="D31" s="343"/>
      <c r="E31" s="343"/>
      <c r="F31" s="343"/>
      <c r="G31" s="343"/>
      <c r="H31" s="363"/>
      <c r="I31" s="363"/>
      <c r="J31" s="343" t="s">
        <v>37</v>
      </c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3"/>
      <c r="W31" s="343"/>
      <c r="X31" s="343"/>
      <c r="Y31" s="363"/>
      <c r="Z31" s="363"/>
      <c r="AA31" s="382" t="s">
        <v>38</v>
      </c>
      <c r="AB31" s="382"/>
      <c r="AC31" s="382"/>
      <c r="AD31" s="382"/>
      <c r="AE31" s="382"/>
      <c r="AF31" s="363"/>
      <c r="AG31" s="393"/>
      <c r="AH31" s="346" t="s">
        <v>39</v>
      </c>
      <c r="AI31" s="346"/>
      <c r="AJ31" s="270"/>
      <c r="AK31" s="270"/>
      <c r="AL31" s="273"/>
      <c r="AM31" s="273"/>
    </row>
  </sheetData>
  <mergeCells count="86">
    <mergeCell ref="A1:AL1"/>
    <mergeCell ref="B2:F2"/>
    <mergeCell ref="G2:Q2"/>
    <mergeCell ref="R2:S2"/>
    <mergeCell ref="T2:AK2"/>
    <mergeCell ref="B3:AK3"/>
    <mergeCell ref="B4:N4"/>
    <mergeCell ref="O4:P4"/>
    <mergeCell ref="R4:T4"/>
    <mergeCell ref="U4:W4"/>
    <mergeCell ref="X4:Y4"/>
    <mergeCell ref="Z4:AA4"/>
    <mergeCell ref="AB4:AK4"/>
    <mergeCell ref="B5:G5"/>
    <mergeCell ref="H5:X5"/>
    <mergeCell ref="Y5:AC5"/>
    <mergeCell ref="AD5:AK5"/>
    <mergeCell ref="B6:AK6"/>
    <mergeCell ref="B7:G7"/>
    <mergeCell ref="H7:Y7"/>
    <mergeCell ref="Z7:AK7"/>
    <mergeCell ref="B8:D8"/>
    <mergeCell ref="E8:L8"/>
    <mergeCell ref="M8:O8"/>
    <mergeCell ref="Q8:R8"/>
    <mergeCell ref="T8:AK8"/>
    <mergeCell ref="C9:AK9"/>
    <mergeCell ref="B10:D10"/>
    <mergeCell ref="E10:F10"/>
    <mergeCell ref="G10:H10"/>
    <mergeCell ref="I10:W10"/>
    <mergeCell ref="X10:AK10"/>
    <mergeCell ref="B11:F11"/>
    <mergeCell ref="G11:H11"/>
    <mergeCell ref="I11:W11"/>
    <mergeCell ref="X11:AK11"/>
    <mergeCell ref="B12:F12"/>
    <mergeCell ref="G12:H12"/>
    <mergeCell ref="I12:W12"/>
    <mergeCell ref="X12:AK12"/>
    <mergeCell ref="B13:F13"/>
    <mergeCell ref="G13:H13"/>
    <mergeCell ref="I13:W13"/>
    <mergeCell ref="X13:AK13"/>
    <mergeCell ref="P18:Z18"/>
    <mergeCell ref="AA18:AK18"/>
    <mergeCell ref="P19:V19"/>
    <mergeCell ref="W19:AB19"/>
    <mergeCell ref="AC19:AK19"/>
    <mergeCell ref="P20:S20"/>
    <mergeCell ref="T20:AB20"/>
    <mergeCell ref="AC20:AK20"/>
    <mergeCell ref="F21:AK21"/>
    <mergeCell ref="F22:AK22"/>
    <mergeCell ref="H23:P23"/>
    <mergeCell ref="Q23:T23"/>
    <mergeCell ref="U23:V23"/>
    <mergeCell ref="W23:AK23"/>
    <mergeCell ref="H24:P24"/>
    <mergeCell ref="Q24:T24"/>
    <mergeCell ref="U24:V24"/>
    <mergeCell ref="W24:AK24"/>
    <mergeCell ref="F25:AK25"/>
    <mergeCell ref="F26:AK26"/>
    <mergeCell ref="F27:AK27"/>
    <mergeCell ref="P28:W28"/>
    <mergeCell ref="X28:AK28"/>
    <mergeCell ref="P29:V29"/>
    <mergeCell ref="W29:AB29"/>
    <mergeCell ref="AC29:AK29"/>
    <mergeCell ref="P30:S30"/>
    <mergeCell ref="T30:AB30"/>
    <mergeCell ref="AC30:AK30"/>
    <mergeCell ref="B31:G31"/>
    <mergeCell ref="H31:I31"/>
    <mergeCell ref="J31:X31"/>
    <mergeCell ref="Y31:Z31"/>
    <mergeCell ref="AA31:AE31"/>
    <mergeCell ref="AF31:AG31"/>
    <mergeCell ref="AH31:AI31"/>
    <mergeCell ref="A2:A31"/>
    <mergeCell ref="AL2:AL31"/>
    <mergeCell ref="B14:AK17"/>
    <mergeCell ref="B18:O20"/>
    <mergeCell ref="B21:E30"/>
    <mergeCell ref="F28:O30"/>
  </mergeCells>
  <pageMargins left="0.75" right="0.75" top="1" bottom="1" header="0.5" footer="0.5"/>
  <pageSetup paperSize="9" scale="88" orientation="portrait"/>
  <headerFooter/>
  <rowBreaks count="1" manualBreakCount="1">
    <brk id="31" max="25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"/>
  <sheetViews>
    <sheetView view="pageBreakPreview" zoomScaleNormal="100" topLeftCell="A5" workbookViewId="0">
      <selection activeCell="AA10" sqref="AA10:AH10"/>
    </sheetView>
  </sheetViews>
  <sheetFormatPr defaultColWidth="9.24761904761905" defaultRowHeight="12"/>
  <cols>
    <col min="1" max="1" width="0.714285714285714" customWidth="1"/>
    <col min="2" max="4" width="3.13333333333333" customWidth="1"/>
    <col min="5" max="16" width="3" customWidth="1"/>
    <col min="17" max="26" width="3.56190476190476" customWidth="1"/>
    <col min="27" max="30" width="2.42857142857143" customWidth="1"/>
    <col min="31" max="34" width="2.28571428571429" customWidth="1"/>
  </cols>
  <sheetData>
    <row r="1" ht="3.75" customHeight="1" spans="1:34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</row>
    <row r="2" ht="45" customHeight="1" spans="1:34">
      <c r="A2" s="270"/>
      <c r="B2" s="271" t="s">
        <v>338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</row>
    <row r="3" ht="26.25" customHeight="1" spans="1:34">
      <c r="A3" s="270"/>
      <c r="B3" s="273" t="s">
        <v>41</v>
      </c>
      <c r="C3" s="272"/>
      <c r="D3" s="272"/>
      <c r="E3" s="272"/>
      <c r="F3" s="274" t="s">
        <v>9</v>
      </c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2"/>
      <c r="U3" s="272"/>
      <c r="V3" s="272"/>
      <c r="W3" s="272"/>
      <c r="X3" s="272"/>
      <c r="Y3" s="272"/>
      <c r="Z3" s="274" t="s">
        <v>10</v>
      </c>
      <c r="AA3" s="274"/>
      <c r="AB3" s="274"/>
      <c r="AC3" s="274"/>
      <c r="AD3" s="274"/>
      <c r="AE3" s="274"/>
      <c r="AF3" s="274"/>
      <c r="AG3" s="274"/>
      <c r="AH3" s="274"/>
    </row>
    <row r="4" ht="30" customHeight="1" spans="1:34">
      <c r="A4" s="275"/>
      <c r="B4" s="276" t="s">
        <v>42</v>
      </c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98" t="str">
        <f>表土玻璃和回覆质量评定表!M4</f>
        <v>土地平整工程</v>
      </c>
      <c r="N4" s="299"/>
      <c r="O4" s="299"/>
      <c r="P4" s="299"/>
      <c r="Q4" s="299"/>
      <c r="R4" s="299"/>
      <c r="S4" s="299"/>
      <c r="T4" s="299"/>
      <c r="U4" s="299"/>
      <c r="V4" s="310"/>
      <c r="W4" s="277" t="s">
        <v>44</v>
      </c>
      <c r="X4" s="277"/>
      <c r="Y4" s="277"/>
      <c r="Z4" s="277"/>
      <c r="AA4" s="298"/>
      <c r="AB4" s="299"/>
      <c r="AC4" s="299"/>
      <c r="AD4" s="299"/>
      <c r="AE4" s="299"/>
      <c r="AF4" s="299"/>
      <c r="AG4" s="299"/>
      <c r="AH4" s="327"/>
    </row>
    <row r="5" ht="30" customHeight="1" spans="1:34">
      <c r="A5" s="275"/>
      <c r="B5" s="278" t="s">
        <v>45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300" t="str">
        <f>表土玻璃和回覆质量评定表!M5</f>
        <v>2024HD10地块土地平整</v>
      </c>
      <c r="N5" s="301"/>
      <c r="O5" s="301"/>
      <c r="P5" s="301"/>
      <c r="Q5" s="301"/>
      <c r="R5" s="301"/>
      <c r="S5" s="301"/>
      <c r="T5" s="301"/>
      <c r="U5" s="301"/>
      <c r="V5" s="281"/>
      <c r="W5" s="279" t="s">
        <v>47</v>
      </c>
      <c r="X5" s="279"/>
      <c r="Y5" s="279"/>
      <c r="Z5" s="279"/>
      <c r="AA5" s="320" t="s">
        <v>26</v>
      </c>
      <c r="AB5" s="301"/>
      <c r="AC5" s="301"/>
      <c r="AD5" s="301"/>
      <c r="AE5" s="301"/>
      <c r="AF5" s="301"/>
      <c r="AG5" s="301"/>
      <c r="AH5" s="328"/>
    </row>
    <row r="6" ht="30" customHeight="1" spans="1:34">
      <c r="A6" s="275"/>
      <c r="B6" s="278" t="s">
        <v>48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302" t="str">
        <f>表土玻璃和回覆质量评定表!M6</f>
        <v>2024HD10地块-@file_num田块</v>
      </c>
      <c r="N6" s="303"/>
      <c r="O6" s="303"/>
      <c r="P6" s="303"/>
      <c r="Q6" s="303"/>
      <c r="R6" s="303"/>
      <c r="S6" s="303"/>
      <c r="T6" s="303"/>
      <c r="U6" s="303"/>
      <c r="V6" s="303"/>
      <c r="W6" s="311" t="s">
        <v>337</v>
      </c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29"/>
    </row>
    <row r="7" ht="26.25" customHeight="1" spans="1:34">
      <c r="A7" s="275"/>
      <c r="B7" s="280" t="s">
        <v>50</v>
      </c>
      <c r="C7" s="281"/>
      <c r="D7" s="279" t="s">
        <v>51</v>
      </c>
      <c r="E7" s="279"/>
      <c r="F7" s="279"/>
      <c r="G7" s="279"/>
      <c r="H7" s="279"/>
      <c r="I7" s="279"/>
      <c r="J7" s="279"/>
      <c r="K7" s="279"/>
      <c r="L7" s="279"/>
      <c r="M7" s="279" t="s">
        <v>52</v>
      </c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300" t="s">
        <v>53</v>
      </c>
      <c r="AB7" s="301"/>
      <c r="AC7" s="301"/>
      <c r="AD7" s="301"/>
      <c r="AE7" s="301"/>
      <c r="AF7" s="301"/>
      <c r="AG7" s="301"/>
      <c r="AH7" s="328"/>
    </row>
    <row r="8" ht="120" customHeight="1" spans="1:34">
      <c r="A8" s="275"/>
      <c r="B8" s="280">
        <v>1</v>
      </c>
      <c r="C8" s="281"/>
      <c r="D8" s="279" t="s">
        <v>339</v>
      </c>
      <c r="E8" s="279"/>
      <c r="F8" s="279"/>
      <c r="G8" s="279"/>
      <c r="H8" s="279"/>
      <c r="I8" s="279"/>
      <c r="J8" s="279"/>
      <c r="K8" s="279"/>
      <c r="L8" s="279"/>
      <c r="M8" s="279" t="s">
        <v>340</v>
      </c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321" t="s">
        <v>56</v>
      </c>
      <c r="AB8" s="322"/>
      <c r="AC8" s="322"/>
      <c r="AD8" s="322"/>
      <c r="AE8" s="322"/>
      <c r="AF8" s="322"/>
      <c r="AG8" s="322"/>
      <c r="AH8" s="330"/>
    </row>
    <row r="9" ht="26.25" customHeight="1" spans="1:34">
      <c r="A9" s="275"/>
      <c r="B9" s="280" t="s">
        <v>50</v>
      </c>
      <c r="C9" s="281"/>
      <c r="D9" s="279" t="s">
        <v>61</v>
      </c>
      <c r="E9" s="279"/>
      <c r="F9" s="279"/>
      <c r="G9" s="279"/>
      <c r="H9" s="279"/>
      <c r="I9" s="279"/>
      <c r="J9" s="279"/>
      <c r="K9" s="279"/>
      <c r="L9" s="279"/>
      <c r="M9" s="279" t="s">
        <v>62</v>
      </c>
      <c r="N9" s="279"/>
      <c r="O9" s="279"/>
      <c r="P9" s="279"/>
      <c r="Q9" s="279" t="s">
        <v>63</v>
      </c>
      <c r="R9" s="279"/>
      <c r="S9" s="279"/>
      <c r="T9" s="279"/>
      <c r="U9" s="279"/>
      <c r="V9" s="279"/>
      <c r="W9" s="279"/>
      <c r="X9" s="279"/>
      <c r="Y9" s="279"/>
      <c r="Z9" s="279"/>
      <c r="AA9" s="300" t="s">
        <v>64</v>
      </c>
      <c r="AB9" s="301"/>
      <c r="AC9" s="301"/>
      <c r="AD9" s="301"/>
      <c r="AE9" s="301"/>
      <c r="AF9" s="301"/>
      <c r="AG9" s="301"/>
      <c r="AH9" s="328"/>
    </row>
    <row r="10" ht="87" customHeight="1" spans="1:34">
      <c r="A10" s="275"/>
      <c r="B10" s="280">
        <v>1</v>
      </c>
      <c r="C10" s="281"/>
      <c r="D10" s="279" t="s">
        <v>341</v>
      </c>
      <c r="E10" s="279"/>
      <c r="F10" s="279"/>
      <c r="G10" s="279"/>
      <c r="H10" s="279"/>
      <c r="I10" s="279"/>
      <c r="J10" s="279"/>
      <c r="K10" s="279"/>
      <c r="L10" s="279"/>
      <c r="M10" s="279" t="s">
        <v>342</v>
      </c>
      <c r="N10" s="279"/>
      <c r="O10" s="279"/>
      <c r="P10" s="279"/>
      <c r="Q10" s="312" t="s">
        <v>335</v>
      </c>
      <c r="R10" s="312" t="s">
        <v>335</v>
      </c>
      <c r="S10" s="312" t="s">
        <v>335</v>
      </c>
      <c r="T10" s="312" t="s">
        <v>335</v>
      </c>
      <c r="U10" s="312" t="s">
        <v>335</v>
      </c>
      <c r="V10" s="312" t="s">
        <v>335</v>
      </c>
      <c r="W10" s="312" t="s">
        <v>335</v>
      </c>
      <c r="X10" s="312" t="s">
        <v>335</v>
      </c>
      <c r="Y10" s="312" t="s">
        <v>335</v>
      </c>
      <c r="Z10" s="312" t="s">
        <v>335</v>
      </c>
      <c r="AA10" s="323" t="e">
        <f>(COUNTIF(Q10:Z10,"&gt;=-50")-COUNTIF(Q10:Z10,"&gt;50"))/COUNT(Q10:Z10)</f>
        <v>#DIV/0!</v>
      </c>
      <c r="AB10" s="324"/>
      <c r="AC10" s="324"/>
      <c r="AD10" s="324"/>
      <c r="AE10" s="324"/>
      <c r="AF10" s="324"/>
      <c r="AG10" s="324"/>
      <c r="AH10" s="331"/>
    </row>
    <row r="11" ht="99" customHeight="1" spans="1:34">
      <c r="A11" s="275"/>
      <c r="B11" s="280">
        <v>2</v>
      </c>
      <c r="C11" s="281"/>
      <c r="D11" s="279" t="s">
        <v>343</v>
      </c>
      <c r="E11" s="279"/>
      <c r="F11" s="279"/>
      <c r="G11" s="279"/>
      <c r="H11" s="279"/>
      <c r="I11" s="279"/>
      <c r="J11" s="279"/>
      <c r="K11" s="279"/>
      <c r="L11" s="279"/>
      <c r="M11" s="279" t="s">
        <v>344</v>
      </c>
      <c r="N11" s="279"/>
      <c r="O11" s="279"/>
      <c r="P11" s="279"/>
      <c r="Q11" s="312" t="s">
        <v>345</v>
      </c>
      <c r="R11" s="312" t="s">
        <v>345</v>
      </c>
      <c r="S11" s="312" t="s">
        <v>345</v>
      </c>
      <c r="T11" s="312" t="s">
        <v>345</v>
      </c>
      <c r="U11" s="312" t="s">
        <v>345</v>
      </c>
      <c r="V11" s="312" t="s">
        <v>345</v>
      </c>
      <c r="W11" s="312" t="s">
        <v>345</v>
      </c>
      <c r="X11" s="312" t="s">
        <v>345</v>
      </c>
      <c r="Y11" s="312" t="s">
        <v>345</v>
      </c>
      <c r="Z11" s="312" t="s">
        <v>345</v>
      </c>
      <c r="AA11" s="323" t="e">
        <f>(COUNTIF(Q11:Z11,"&gt;=3")-COUNTIF(Q11:Z11,"&gt;8"))/COUNT(Q11:Z11)</f>
        <v>#DIV/0!</v>
      </c>
      <c r="AB11" s="324"/>
      <c r="AC11" s="324"/>
      <c r="AD11" s="324"/>
      <c r="AE11" s="324"/>
      <c r="AF11" s="324"/>
      <c r="AG11" s="324"/>
      <c r="AH11" s="331"/>
    </row>
    <row r="12" ht="26.25" customHeight="1" spans="1:34">
      <c r="A12" s="275"/>
      <c r="B12" s="282" t="s">
        <v>78</v>
      </c>
      <c r="C12" s="283"/>
      <c r="D12" s="284"/>
      <c r="E12" s="285">
        <v>20</v>
      </c>
      <c r="F12" s="285"/>
      <c r="G12" s="286" t="s">
        <v>79</v>
      </c>
      <c r="H12" s="286"/>
      <c r="I12" s="286"/>
      <c r="J12" s="286"/>
      <c r="K12" s="285" t="e">
        <f>SUM(AA10:AH11)*10</f>
        <v>#DIV/0!</v>
      </c>
      <c r="L12" s="285"/>
      <c r="M12" s="304" t="s">
        <v>80</v>
      </c>
      <c r="N12" s="304"/>
      <c r="O12" s="304"/>
      <c r="P12" s="304"/>
      <c r="Q12" s="313" t="e">
        <f>AVERAGE(AA10:AH11)*100</f>
        <v>#DIV/0!</v>
      </c>
      <c r="R12" s="285"/>
      <c r="S12" s="314" t="s">
        <v>81</v>
      </c>
      <c r="T12" s="315"/>
      <c r="U12" s="315"/>
      <c r="V12" s="315"/>
      <c r="W12" s="315"/>
      <c r="X12" s="315"/>
      <c r="Y12" s="315"/>
      <c r="Z12" s="315"/>
      <c r="AA12" s="325"/>
      <c r="AB12" s="326"/>
      <c r="AC12" s="326"/>
      <c r="AD12" s="326"/>
      <c r="AE12" s="326"/>
      <c r="AF12" s="326"/>
      <c r="AG12" s="326"/>
      <c r="AH12" s="332"/>
    </row>
    <row r="13" ht="3.75" customHeight="1" spans="1:34">
      <c r="A13" s="275"/>
      <c r="B13" s="287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333"/>
    </row>
    <row r="14" ht="21" customHeight="1" spans="1:34">
      <c r="A14" s="275"/>
      <c r="B14" s="289" t="s">
        <v>82</v>
      </c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334"/>
    </row>
    <row r="15" ht="26.25" customHeight="1" spans="1:34">
      <c r="A15" s="275"/>
      <c r="B15" s="287"/>
      <c r="C15" s="288"/>
      <c r="D15" s="288"/>
      <c r="E15" s="288"/>
      <c r="F15" s="288"/>
      <c r="G15" s="288"/>
      <c r="H15" s="291" t="s">
        <v>13</v>
      </c>
      <c r="I15" s="288" t="s">
        <v>83</v>
      </c>
      <c r="J15" s="288"/>
      <c r="K15" s="288"/>
      <c r="L15" s="288"/>
      <c r="M15" s="291" t="s">
        <v>13</v>
      </c>
      <c r="N15" s="305" t="s">
        <v>84</v>
      </c>
      <c r="O15" s="305"/>
      <c r="P15" s="305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333"/>
    </row>
    <row r="16" ht="26.25" customHeight="1" spans="1:34">
      <c r="A16" s="275"/>
      <c r="B16" s="278" t="s">
        <v>85</v>
      </c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300" t="s">
        <v>86</v>
      </c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28"/>
    </row>
    <row r="17" ht="26.25" customHeight="1" spans="1:34">
      <c r="A17" s="275"/>
      <c r="B17" s="289" t="s">
        <v>87</v>
      </c>
      <c r="C17" s="290"/>
      <c r="D17" s="290"/>
      <c r="E17" s="292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316" t="s">
        <v>88</v>
      </c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334"/>
    </row>
    <row r="18" ht="26.25" customHeight="1" spans="1:34">
      <c r="A18" s="275"/>
      <c r="B18" s="294" t="s">
        <v>89</v>
      </c>
      <c r="C18" s="295"/>
      <c r="D18" s="295"/>
      <c r="E18" s="295"/>
      <c r="F18" s="295"/>
      <c r="G18" s="273"/>
      <c r="H18" s="273"/>
      <c r="I18" s="306"/>
      <c r="J18" s="307"/>
      <c r="K18" s="307"/>
      <c r="L18" s="307"/>
      <c r="M18" s="307"/>
      <c r="N18" s="307"/>
      <c r="O18" s="307"/>
      <c r="P18" s="307"/>
      <c r="Q18" s="307"/>
      <c r="R18" s="317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335"/>
    </row>
    <row r="19" ht="26.25" customHeight="1" spans="1:34">
      <c r="A19" s="275"/>
      <c r="B19" s="296"/>
      <c r="C19" s="297"/>
      <c r="D19" s="297"/>
      <c r="E19" s="297"/>
      <c r="F19" s="297"/>
      <c r="G19" s="297"/>
      <c r="H19" s="297"/>
      <c r="I19" s="297"/>
      <c r="J19" s="308" t="s">
        <v>26</v>
      </c>
      <c r="K19" s="297"/>
      <c r="L19" s="297"/>
      <c r="M19" s="297"/>
      <c r="N19" s="297"/>
      <c r="O19" s="297"/>
      <c r="P19" s="297"/>
      <c r="Q19" s="318"/>
      <c r="R19" s="319"/>
      <c r="S19" s="297"/>
      <c r="T19" s="297"/>
      <c r="U19" s="297"/>
      <c r="V19" s="297"/>
      <c r="W19" s="297"/>
      <c r="X19" s="297"/>
      <c r="Y19" s="297"/>
      <c r="Z19" s="308" t="s">
        <v>26</v>
      </c>
      <c r="AA19" s="297"/>
      <c r="AB19" s="297"/>
      <c r="AC19" s="297"/>
      <c r="AD19" s="297"/>
      <c r="AE19" s="297"/>
      <c r="AF19" s="297"/>
      <c r="AG19" s="297"/>
      <c r="AH19" s="336"/>
    </row>
    <row r="20" ht="22.5" customHeight="1" spans="1:34">
      <c r="A20" s="270"/>
      <c r="B20" s="295" t="s">
        <v>90</v>
      </c>
      <c r="C20" s="295"/>
      <c r="D20" s="295"/>
      <c r="E20" s="295"/>
      <c r="F20" s="295"/>
      <c r="G20" s="295"/>
      <c r="H20" s="295"/>
      <c r="I20" s="295"/>
      <c r="J20" s="309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309"/>
      <c r="AB20" s="295"/>
      <c r="AC20" s="295"/>
      <c r="AD20" s="295"/>
      <c r="AE20" s="295"/>
      <c r="AF20" s="295"/>
      <c r="AG20" s="295"/>
      <c r="AH20" s="295"/>
    </row>
  </sheetData>
  <mergeCells count="66">
    <mergeCell ref="B1:AH1"/>
    <mergeCell ref="B2:AH2"/>
    <mergeCell ref="B3:E3"/>
    <mergeCell ref="F3:S3"/>
    <mergeCell ref="Z3:AH3"/>
    <mergeCell ref="B4:L4"/>
    <mergeCell ref="M4:V4"/>
    <mergeCell ref="W4:Z4"/>
    <mergeCell ref="AA4:AH4"/>
    <mergeCell ref="B5:L5"/>
    <mergeCell ref="M5:V5"/>
    <mergeCell ref="W5:Z5"/>
    <mergeCell ref="AA5:AH5"/>
    <mergeCell ref="B6:L6"/>
    <mergeCell ref="M6:V6"/>
    <mergeCell ref="W6:AH6"/>
    <mergeCell ref="B7:C7"/>
    <mergeCell ref="D7:L7"/>
    <mergeCell ref="M7:Z7"/>
    <mergeCell ref="AA7:AH7"/>
    <mergeCell ref="B8:C8"/>
    <mergeCell ref="D8:L8"/>
    <mergeCell ref="M8:Z8"/>
    <mergeCell ref="AA8:AH8"/>
    <mergeCell ref="B9:C9"/>
    <mergeCell ref="D9:L9"/>
    <mergeCell ref="M9:P9"/>
    <mergeCell ref="Q9:Z9"/>
    <mergeCell ref="AA9:AH9"/>
    <mergeCell ref="B10:C10"/>
    <mergeCell ref="D10:L10"/>
    <mergeCell ref="M10:P10"/>
    <mergeCell ref="AA10:AH10"/>
    <mergeCell ref="B11:C11"/>
    <mergeCell ref="D11:L11"/>
    <mergeCell ref="M11:P11"/>
    <mergeCell ref="AA11:AH11"/>
    <mergeCell ref="B12:D12"/>
    <mergeCell ref="E12:F12"/>
    <mergeCell ref="G12:J12"/>
    <mergeCell ref="K12:L12"/>
    <mergeCell ref="M12:P12"/>
    <mergeCell ref="Q12:R12"/>
    <mergeCell ref="S12:AH12"/>
    <mergeCell ref="B13:AH13"/>
    <mergeCell ref="B14:AH14"/>
    <mergeCell ref="B15:G15"/>
    <mergeCell ref="I15:J15"/>
    <mergeCell ref="K15:L15"/>
    <mergeCell ref="N15:P15"/>
    <mergeCell ref="Q15:AH15"/>
    <mergeCell ref="B16:Q16"/>
    <mergeCell ref="R16:AH16"/>
    <mergeCell ref="B17:D17"/>
    <mergeCell ref="E17:Q17"/>
    <mergeCell ref="R17:U17"/>
    <mergeCell ref="V17:AH17"/>
    <mergeCell ref="B18:H18"/>
    <mergeCell ref="I18:Q18"/>
    <mergeCell ref="R18:AH18"/>
    <mergeCell ref="B19:I19"/>
    <mergeCell ref="J19:Q19"/>
    <mergeCell ref="R19:Y19"/>
    <mergeCell ref="Z19:AH19"/>
    <mergeCell ref="B20:AH20"/>
    <mergeCell ref="A1:A20"/>
  </mergeCells>
  <pageMargins left="0.75" right="0.75" top="1" bottom="1" header="0.5" footer="0.5"/>
  <pageSetup paperSize="9" scale="91" orientation="portrait"/>
  <headerFooter/>
  <colBreaks count="1" manualBreakCount="1">
    <brk id="34" max="6553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workbookViewId="0">
      <selection activeCell="H11" sqref="H11"/>
    </sheetView>
  </sheetViews>
  <sheetFormatPr defaultColWidth="9.14285714285714" defaultRowHeight="13.5" outlineLevelCol="6"/>
  <cols>
    <col min="1" max="1" width="5.42857142857143" style="1" customWidth="1"/>
    <col min="2" max="2" width="6" style="1" customWidth="1"/>
    <col min="3" max="3" width="8.71428571428571" style="1" customWidth="1"/>
    <col min="4" max="4" width="24.8571428571429" style="1" customWidth="1"/>
    <col min="5" max="5" width="8.28571428571429" style="1" customWidth="1"/>
    <col min="6" max="6" width="11.8571428571429" style="1" customWidth="1"/>
    <col min="7" max="7" width="38.4285714285714" style="1" customWidth="1"/>
  </cols>
  <sheetData>
    <row r="1" s="1" customFormat="1" ht="18.75" spans="1:7">
      <c r="A1" s="2" t="s">
        <v>346</v>
      </c>
      <c r="B1" s="112"/>
      <c r="C1" s="112"/>
      <c r="D1" s="112"/>
      <c r="E1" s="112"/>
      <c r="F1" s="112"/>
      <c r="G1" s="112"/>
    </row>
    <row r="2" s="1" customFormat="1" ht="18.75" spans="1:7">
      <c r="A2" s="113" t="s">
        <v>347</v>
      </c>
      <c r="B2" s="113"/>
      <c r="C2" s="113"/>
      <c r="D2" s="113"/>
      <c r="E2" s="113"/>
      <c r="F2" s="113"/>
      <c r="G2" s="113"/>
    </row>
    <row r="3" s="1" customFormat="1" ht="36" customHeight="1" spans="1:7">
      <c r="A3" s="28" t="s">
        <v>95</v>
      </c>
      <c r="B3" s="28"/>
      <c r="C3" s="28"/>
      <c r="D3" s="238" t="s">
        <v>348</v>
      </c>
      <c r="E3" s="238"/>
      <c r="F3" s="28" t="s">
        <v>96</v>
      </c>
      <c r="G3" s="268" t="s">
        <v>349</v>
      </c>
    </row>
    <row r="4" s="1" customFormat="1" ht="28.5" customHeight="1" spans="1:7">
      <c r="A4" s="28" t="s">
        <v>97</v>
      </c>
      <c r="B4" s="28"/>
      <c r="C4" s="28"/>
      <c r="D4" s="238" t="s">
        <v>350</v>
      </c>
      <c r="E4" s="238"/>
      <c r="F4" s="28" t="s">
        <v>98</v>
      </c>
      <c r="G4" s="239" t="s">
        <v>99</v>
      </c>
    </row>
    <row r="5" s="1" customFormat="1" ht="28.5" customHeight="1" spans="1:7">
      <c r="A5" s="28" t="s">
        <v>100</v>
      </c>
      <c r="B5" s="28"/>
      <c r="C5" s="28"/>
      <c r="D5" s="238" t="s">
        <v>351</v>
      </c>
      <c r="E5" s="238"/>
      <c r="F5" s="28" t="s">
        <v>102</v>
      </c>
      <c r="G5" s="28" t="s">
        <v>352</v>
      </c>
    </row>
    <row r="6" s="1" customFormat="1" ht="34.5" customHeight="1" spans="1:7">
      <c r="A6" s="28" t="s">
        <v>50</v>
      </c>
      <c r="B6" s="28" t="s">
        <v>128</v>
      </c>
      <c r="C6" s="28"/>
      <c r="D6" s="28"/>
      <c r="E6" s="28" t="s">
        <v>107</v>
      </c>
      <c r="F6" s="28"/>
      <c r="G6" s="28"/>
    </row>
    <row r="7" s="1" customFormat="1" ht="34.5" customHeight="1" spans="1:7">
      <c r="A7" s="28">
        <v>1</v>
      </c>
      <c r="B7" s="202" t="s">
        <v>353</v>
      </c>
      <c r="C7" s="202"/>
      <c r="D7" s="202"/>
      <c r="E7" s="29" t="s">
        <v>83</v>
      </c>
      <c r="F7" s="29"/>
      <c r="G7" s="29"/>
    </row>
    <row r="8" s="1" customFormat="1" ht="34.5" customHeight="1" spans="1:7">
      <c r="A8" s="28">
        <v>2</v>
      </c>
      <c r="B8" s="202" t="s">
        <v>354</v>
      </c>
      <c r="C8" s="202"/>
      <c r="D8" s="202"/>
      <c r="E8" s="29" t="s">
        <v>83</v>
      </c>
      <c r="F8" s="29"/>
      <c r="G8" s="29"/>
    </row>
    <row r="9" s="1" customFormat="1" ht="34.5" customHeight="1" spans="1:7">
      <c r="A9" s="28">
        <v>3</v>
      </c>
      <c r="B9" s="202" t="s">
        <v>355</v>
      </c>
      <c r="C9" s="202"/>
      <c r="D9" s="202"/>
      <c r="E9" s="29" t="s">
        <v>83</v>
      </c>
      <c r="F9" s="29"/>
      <c r="G9" s="29"/>
    </row>
    <row r="10" s="1" customFormat="1" ht="42.75" customHeight="1" spans="1:7">
      <c r="A10" s="139" t="s">
        <v>199</v>
      </c>
      <c r="B10" s="240"/>
      <c r="C10" s="209" t="s">
        <v>356</v>
      </c>
      <c r="D10" s="210"/>
      <c r="E10" s="210"/>
      <c r="F10" s="210"/>
      <c r="G10" s="220"/>
    </row>
    <row r="11" s="1" customFormat="1" spans="1:7">
      <c r="A11" s="229"/>
      <c r="B11" s="241"/>
      <c r="C11" s="203"/>
      <c r="D11" s="204"/>
      <c r="E11" s="204"/>
      <c r="F11" s="204"/>
      <c r="G11" s="217"/>
    </row>
    <row r="12" s="1" customFormat="1" spans="1:7">
      <c r="A12" s="229"/>
      <c r="B12" s="241"/>
      <c r="C12" s="203" t="s">
        <v>357</v>
      </c>
      <c r="D12" s="204"/>
      <c r="E12" s="204"/>
      <c r="F12" s="204"/>
      <c r="G12" s="217"/>
    </row>
    <row r="13" s="1" customFormat="1" spans="1:7">
      <c r="A13" s="229"/>
      <c r="B13" s="241"/>
      <c r="C13" s="203"/>
      <c r="D13" s="204"/>
      <c r="E13" s="204"/>
      <c r="F13" s="204"/>
      <c r="G13" s="217"/>
    </row>
    <row r="14" s="1" customFormat="1" ht="17.25" customHeight="1" spans="1:7">
      <c r="A14" s="229"/>
      <c r="B14" s="241"/>
      <c r="C14" s="203"/>
      <c r="D14" s="204"/>
      <c r="E14" s="204"/>
      <c r="F14" s="204"/>
      <c r="G14" s="217"/>
    </row>
    <row r="15" s="1" customFormat="1" spans="1:7">
      <c r="A15" s="229"/>
      <c r="B15" s="241"/>
      <c r="C15" s="203"/>
      <c r="D15" s="204"/>
      <c r="E15" s="204"/>
      <c r="F15" s="204"/>
      <c r="G15" s="217"/>
    </row>
    <row r="16" s="1" customFormat="1" ht="2.25" customHeight="1" spans="1:7">
      <c r="A16" s="229"/>
      <c r="B16" s="241"/>
      <c r="C16" s="203"/>
      <c r="D16" s="204"/>
      <c r="E16" s="204"/>
      <c r="F16" s="204"/>
      <c r="G16" s="217"/>
    </row>
    <row r="17" s="1" customFormat="1" ht="3" customHeight="1" spans="1:7">
      <c r="A17" s="229"/>
      <c r="B17" s="241"/>
      <c r="C17" s="203"/>
      <c r="D17" s="204"/>
      <c r="E17" s="204"/>
      <c r="F17" s="204"/>
      <c r="G17" s="217"/>
    </row>
    <row r="18" s="1" customFormat="1" ht="3.75" customHeight="1" spans="1:7">
      <c r="A18" s="229"/>
      <c r="B18" s="241"/>
      <c r="C18" s="203"/>
      <c r="D18" s="204"/>
      <c r="E18" s="204"/>
      <c r="F18" s="204"/>
      <c r="G18" s="217"/>
    </row>
    <row r="19" s="1" customFormat="1" spans="1:7">
      <c r="A19" s="229"/>
      <c r="B19" s="241"/>
      <c r="C19" s="203"/>
      <c r="D19" s="204"/>
      <c r="E19" s="204"/>
      <c r="F19" s="204"/>
      <c r="G19" s="217"/>
    </row>
    <row r="20" s="1" customFormat="1" ht="18.75" customHeight="1" spans="1:7">
      <c r="A20" s="229"/>
      <c r="B20" s="241"/>
      <c r="C20" s="242" t="s">
        <v>118</v>
      </c>
      <c r="D20" s="243"/>
      <c r="E20" s="243"/>
      <c r="F20" s="243"/>
      <c r="G20" s="248"/>
    </row>
    <row r="21" s="1" customFormat="1" ht="18.75" customHeight="1" spans="1:7">
      <c r="A21" s="244"/>
      <c r="B21" s="245"/>
      <c r="C21" s="246" t="s">
        <v>358</v>
      </c>
      <c r="D21" s="247"/>
      <c r="E21" s="247"/>
      <c r="F21" s="247"/>
      <c r="G21" s="249"/>
    </row>
    <row r="22" s="1" customFormat="1" ht="34.5" customHeight="1" spans="1:7">
      <c r="A22" s="139" t="s">
        <v>201</v>
      </c>
      <c r="B22" s="240"/>
      <c r="C22" s="209" t="s">
        <v>359</v>
      </c>
      <c r="D22" s="210"/>
      <c r="E22" s="210"/>
      <c r="F22" s="210"/>
      <c r="G22" s="220"/>
    </row>
    <row r="23" s="1" customFormat="1" ht="8.25" customHeight="1" spans="1:7">
      <c r="A23" s="229"/>
      <c r="B23" s="241"/>
      <c r="C23" s="203"/>
      <c r="D23" s="204"/>
      <c r="E23" s="204"/>
      <c r="F23" s="204"/>
      <c r="G23" s="217"/>
    </row>
    <row r="24" s="1" customFormat="1" spans="1:7">
      <c r="A24" s="229"/>
      <c r="B24" s="241"/>
      <c r="C24" s="203"/>
      <c r="D24" s="204"/>
      <c r="E24" s="204"/>
      <c r="F24" s="204"/>
      <c r="G24" s="217"/>
    </row>
    <row r="25" s="1" customFormat="1" spans="1:7">
      <c r="A25" s="229"/>
      <c r="B25" s="241"/>
      <c r="C25" s="203" t="s">
        <v>360</v>
      </c>
      <c r="D25" s="204"/>
      <c r="E25" s="204"/>
      <c r="F25" s="204"/>
      <c r="G25" s="217"/>
    </row>
    <row r="26" s="1" customFormat="1" spans="1:7">
      <c r="A26" s="229"/>
      <c r="B26" s="241"/>
      <c r="C26" s="203"/>
      <c r="D26" s="204"/>
      <c r="E26" s="204"/>
      <c r="F26" s="204"/>
      <c r="G26" s="217"/>
    </row>
    <row r="27" s="1" customFormat="1" ht="43.5" customHeight="1" spans="1:7">
      <c r="A27" s="229"/>
      <c r="B27" s="241"/>
      <c r="C27" s="203"/>
      <c r="D27" s="204"/>
      <c r="E27" s="204"/>
      <c r="F27" s="204"/>
      <c r="G27" s="217"/>
    </row>
    <row r="28" s="1" customFormat="1" spans="1:7">
      <c r="A28" s="229"/>
      <c r="B28" s="241"/>
      <c r="C28" s="203"/>
      <c r="D28" s="204"/>
      <c r="E28" s="204"/>
      <c r="F28" s="204"/>
      <c r="G28" s="217"/>
    </row>
    <row r="29" s="1" customFormat="1" spans="1:7">
      <c r="A29" s="229"/>
      <c r="B29" s="241"/>
      <c r="C29" s="203"/>
      <c r="D29" s="204"/>
      <c r="E29" s="204"/>
      <c r="F29" s="204"/>
      <c r="G29" s="217"/>
    </row>
    <row r="30" s="1" customFormat="1" spans="1:7">
      <c r="A30" s="229"/>
      <c r="B30" s="241"/>
      <c r="C30" s="203"/>
      <c r="D30" s="204"/>
      <c r="E30" s="204"/>
      <c r="F30" s="204"/>
      <c r="G30" s="217"/>
    </row>
    <row r="31" s="1" customFormat="1" ht="21" customHeight="1" spans="1:7">
      <c r="A31" s="229"/>
      <c r="B31" s="241"/>
      <c r="C31" s="242" t="s">
        <v>118</v>
      </c>
      <c r="D31" s="243"/>
      <c r="E31" s="243"/>
      <c r="F31" s="243"/>
      <c r="G31" s="248"/>
    </row>
    <row r="32" s="1" customFormat="1" ht="21" customHeight="1" spans="1:7">
      <c r="A32" s="244"/>
      <c r="B32" s="245"/>
      <c r="C32" s="242" t="s">
        <v>358</v>
      </c>
      <c r="D32" s="243"/>
      <c r="E32" s="243"/>
      <c r="F32" s="243"/>
      <c r="G32" s="248"/>
    </row>
    <row r="33" s="1" customFormat="1" ht="39.75" customHeight="1" spans="1:7">
      <c r="A33" s="233" t="s">
        <v>361</v>
      </c>
      <c r="B33" s="234"/>
      <c r="C33" s="234"/>
      <c r="D33" s="234"/>
      <c r="E33" s="234"/>
      <c r="F33" s="234"/>
      <c r="G33" s="269"/>
    </row>
    <row r="34" spans="1:7">
      <c r="A34" s="49"/>
      <c r="B34" s="49"/>
      <c r="C34" s="49"/>
      <c r="D34" s="49"/>
      <c r="E34" s="49"/>
      <c r="F34" s="49"/>
      <c r="G34" s="49"/>
    </row>
  </sheetData>
  <mergeCells count="42">
    <mergeCell ref="A1:G1"/>
    <mergeCell ref="A2:G2"/>
    <mergeCell ref="A3:C3"/>
    <mergeCell ref="D3:E3"/>
    <mergeCell ref="A4:C4"/>
    <mergeCell ref="D4:E4"/>
    <mergeCell ref="A5:C5"/>
    <mergeCell ref="D5:E5"/>
    <mergeCell ref="B6:D6"/>
    <mergeCell ref="E6:G6"/>
    <mergeCell ref="B7:D7"/>
    <mergeCell ref="E7:G7"/>
    <mergeCell ref="B8:D8"/>
    <mergeCell ref="E8:G8"/>
    <mergeCell ref="B9:D9"/>
    <mergeCell ref="E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A33:G33"/>
    <mergeCell ref="A10:B21"/>
    <mergeCell ref="A22:B32"/>
  </mergeCells>
  <pageMargins left="0.75" right="0.75" top="1" bottom="1" header="0.5" footer="0.5"/>
  <pageSetup paperSize="9" scale="93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0" workbookViewId="0">
      <selection activeCell="A2" sqref="A2:J2"/>
    </sheetView>
  </sheetViews>
  <sheetFormatPr defaultColWidth="10.2857142857143" defaultRowHeight="13.5"/>
  <cols>
    <col min="1" max="1" width="4.14285714285714" style="1" customWidth="1"/>
    <col min="2" max="2" width="3.85714285714286" style="1" customWidth="1"/>
    <col min="3" max="3" width="11.5714285714286" style="1" customWidth="1"/>
    <col min="4" max="4" width="14.4285714285714" style="1" customWidth="1"/>
    <col min="5" max="5" width="15" style="1" customWidth="1"/>
    <col min="6" max="6" width="9.14285714285714" style="1" customWidth="1"/>
    <col min="7" max="7" width="0.857142857142857" style="1" customWidth="1"/>
    <col min="8" max="8" width="29.5714285714286" style="1" customWidth="1"/>
    <col min="9" max="10" width="8.28571428571429" style="1" customWidth="1"/>
    <col min="11" max="16384" width="10.2857142857143" style="1"/>
  </cols>
  <sheetData>
    <row r="1" s="1" customFormat="1" ht="23.25" customHeight="1" spans="1:10">
      <c r="A1" s="2" t="s">
        <v>346</v>
      </c>
      <c r="B1" s="112"/>
      <c r="C1" s="112"/>
      <c r="D1" s="112"/>
      <c r="E1" s="112"/>
      <c r="F1" s="112"/>
      <c r="G1" s="112"/>
      <c r="H1" s="112"/>
      <c r="I1" s="112"/>
      <c r="J1" s="112"/>
    </row>
    <row r="2" s="1" customFormat="1" ht="23.25" customHeight="1" spans="1:10">
      <c r="A2" s="237" t="s">
        <v>362</v>
      </c>
      <c r="B2" s="237"/>
      <c r="C2" s="237"/>
      <c r="D2" s="237"/>
      <c r="E2" s="237"/>
      <c r="F2" s="237"/>
      <c r="G2" s="237"/>
      <c r="H2" s="237"/>
      <c r="I2" s="237"/>
      <c r="J2" s="237"/>
    </row>
    <row r="3" s="264" customFormat="1" ht="36" customHeight="1" spans="1:10">
      <c r="A3" s="28" t="s">
        <v>95</v>
      </c>
      <c r="B3" s="28"/>
      <c r="C3" s="28"/>
      <c r="D3" s="238" t="s">
        <v>348</v>
      </c>
      <c r="E3" s="238"/>
      <c r="F3" s="28" t="s">
        <v>128</v>
      </c>
      <c r="G3" s="239" t="s">
        <v>129</v>
      </c>
      <c r="H3" s="239"/>
      <c r="I3" s="239"/>
      <c r="J3" s="239"/>
    </row>
    <row r="4" s="264" customFormat="1" ht="24" customHeight="1" spans="1:10">
      <c r="A4" s="28" t="s">
        <v>97</v>
      </c>
      <c r="B4" s="28"/>
      <c r="C4" s="28"/>
      <c r="D4" s="238" t="s">
        <v>350</v>
      </c>
      <c r="E4" s="238"/>
      <c r="F4" s="28" t="s">
        <v>98</v>
      </c>
      <c r="G4" s="239" t="s">
        <v>99</v>
      </c>
      <c r="H4" s="239"/>
      <c r="I4" s="239"/>
      <c r="J4" s="239"/>
    </row>
    <row r="5" s="264" customFormat="1" ht="27.75" customHeight="1" spans="1:10">
      <c r="A5" s="28" t="s">
        <v>100</v>
      </c>
      <c r="B5" s="28"/>
      <c r="C5" s="28"/>
      <c r="D5" s="238" t="s">
        <v>351</v>
      </c>
      <c r="E5" s="238"/>
      <c r="F5" s="28" t="s">
        <v>102</v>
      </c>
      <c r="G5" s="28" t="s">
        <v>352</v>
      </c>
      <c r="H5" s="28"/>
      <c r="I5" s="28"/>
      <c r="J5" s="28"/>
    </row>
    <row r="6" s="264" customFormat="1" ht="30" customHeight="1" spans="1:10">
      <c r="A6" s="28" t="s">
        <v>50</v>
      </c>
      <c r="B6" s="28"/>
      <c r="C6" s="28" t="s">
        <v>133</v>
      </c>
      <c r="D6" s="28"/>
      <c r="E6" s="148" t="s">
        <v>134</v>
      </c>
      <c r="F6" s="212"/>
      <c r="G6" s="35"/>
      <c r="H6" s="28" t="s">
        <v>135</v>
      </c>
      <c r="I6" s="28" t="s">
        <v>136</v>
      </c>
      <c r="J6" s="28" t="s">
        <v>137</v>
      </c>
    </row>
    <row r="7" s="264" customFormat="1" ht="48" customHeight="1" spans="1:10">
      <c r="A7" s="221" t="s">
        <v>138</v>
      </c>
      <c r="B7" s="28">
        <v>1</v>
      </c>
      <c r="C7" s="202" t="s">
        <v>363</v>
      </c>
      <c r="D7" s="202"/>
      <c r="E7" s="202" t="s">
        <v>364</v>
      </c>
      <c r="F7" s="202"/>
      <c r="G7" s="202"/>
      <c r="H7" s="28" t="s">
        <v>365</v>
      </c>
      <c r="I7" s="29" t="s">
        <v>129</v>
      </c>
      <c r="J7" s="58">
        <v>1</v>
      </c>
    </row>
    <row r="8" s="264" customFormat="1" ht="12" spans="1:10">
      <c r="A8" s="250"/>
      <c r="B8" s="28"/>
      <c r="C8" s="202"/>
      <c r="D8" s="202"/>
      <c r="E8" s="202"/>
      <c r="F8" s="202"/>
      <c r="G8" s="202"/>
      <c r="H8" s="29"/>
      <c r="I8" s="29"/>
      <c r="J8" s="29"/>
    </row>
    <row r="9" s="264" customFormat="1" ht="12" spans="1:10">
      <c r="A9" s="250"/>
      <c r="B9" s="28"/>
      <c r="C9" s="202"/>
      <c r="D9" s="202"/>
      <c r="E9" s="202"/>
      <c r="F9" s="202"/>
      <c r="G9" s="202"/>
      <c r="H9" s="29"/>
      <c r="I9" s="29"/>
      <c r="J9" s="29"/>
    </row>
    <row r="10" s="264" customFormat="1" ht="43.5" customHeight="1" spans="1:10">
      <c r="A10" s="228"/>
      <c r="B10" s="28">
        <v>2</v>
      </c>
      <c r="C10" s="202" t="s">
        <v>366</v>
      </c>
      <c r="D10" s="202"/>
      <c r="E10" s="202" t="s">
        <v>367</v>
      </c>
      <c r="F10" s="202"/>
      <c r="G10" s="202"/>
      <c r="H10" s="28" t="s">
        <v>368</v>
      </c>
      <c r="I10" s="29" t="s">
        <v>129</v>
      </c>
      <c r="J10" s="58">
        <v>1</v>
      </c>
    </row>
    <row r="11" s="264" customFormat="1" ht="48" customHeight="1" spans="1:10">
      <c r="A11" s="221" t="s">
        <v>148</v>
      </c>
      <c r="B11" s="28">
        <v>1</v>
      </c>
      <c r="C11" s="202" t="s">
        <v>369</v>
      </c>
      <c r="D11" s="202"/>
      <c r="E11" s="202" t="s">
        <v>370</v>
      </c>
      <c r="F11" s="202"/>
      <c r="G11" s="202"/>
      <c r="H11" s="28" t="s">
        <v>371</v>
      </c>
      <c r="I11" s="29" t="s">
        <v>129</v>
      </c>
      <c r="J11" s="58">
        <v>0.7</v>
      </c>
    </row>
    <row r="12" s="264" customFormat="1" ht="12" spans="1:10">
      <c r="A12" s="250"/>
      <c r="B12" s="28"/>
      <c r="C12" s="202"/>
      <c r="D12" s="202"/>
      <c r="E12" s="202"/>
      <c r="F12" s="202"/>
      <c r="G12" s="202"/>
      <c r="H12" s="29"/>
      <c r="I12" s="29"/>
      <c r="J12" s="29"/>
    </row>
    <row r="13" s="264" customFormat="1" ht="51.75" customHeight="1" spans="1:10">
      <c r="A13" s="228"/>
      <c r="B13" s="28">
        <v>2</v>
      </c>
      <c r="C13" s="202" t="s">
        <v>372</v>
      </c>
      <c r="D13" s="202"/>
      <c r="E13" s="202" t="s">
        <v>373</v>
      </c>
      <c r="F13" s="202"/>
      <c r="G13" s="202"/>
      <c r="H13" s="28" t="s">
        <v>374</v>
      </c>
      <c r="I13" s="29" t="s">
        <v>129</v>
      </c>
      <c r="J13" s="58">
        <v>0.7</v>
      </c>
    </row>
    <row r="14" s="264" customFormat="1" ht="36" customHeight="1" spans="1:10">
      <c r="A14" s="28" t="s">
        <v>199</v>
      </c>
      <c r="B14" s="28"/>
      <c r="C14" s="209" t="s">
        <v>375</v>
      </c>
      <c r="D14" s="210"/>
      <c r="E14" s="210"/>
      <c r="F14" s="210"/>
      <c r="G14" s="210"/>
      <c r="H14" s="210"/>
      <c r="I14" s="210"/>
      <c r="J14" s="220"/>
    </row>
    <row r="15" s="264" customFormat="1" ht="12" spans="1:10">
      <c r="A15" s="28"/>
      <c r="B15" s="28"/>
      <c r="C15" s="203"/>
      <c r="D15" s="204"/>
      <c r="E15" s="204"/>
      <c r="F15" s="204"/>
      <c r="G15" s="204"/>
      <c r="H15" s="204"/>
      <c r="I15" s="204"/>
      <c r="J15" s="217"/>
    </row>
    <row r="16" s="264" customFormat="1" ht="12" spans="1:10">
      <c r="A16" s="28"/>
      <c r="B16" s="28"/>
      <c r="C16" s="203" t="s">
        <v>376</v>
      </c>
      <c r="D16" s="204"/>
      <c r="E16" s="204"/>
      <c r="F16" s="204"/>
      <c r="G16" s="204"/>
      <c r="H16" s="204"/>
      <c r="I16" s="204"/>
      <c r="J16" s="217"/>
    </row>
    <row r="17" s="264" customFormat="1" ht="12" spans="1:10">
      <c r="A17" s="28"/>
      <c r="B17" s="28"/>
      <c r="C17" s="203"/>
      <c r="D17" s="204"/>
      <c r="E17" s="204"/>
      <c r="F17" s="204"/>
      <c r="G17" s="204"/>
      <c r="H17" s="204"/>
      <c r="I17" s="204"/>
      <c r="J17" s="217"/>
    </row>
    <row r="18" s="264" customFormat="1" ht="12" spans="1:10">
      <c r="A18" s="28"/>
      <c r="B18" s="28"/>
      <c r="C18" s="203"/>
      <c r="D18" s="204"/>
      <c r="E18" s="204"/>
      <c r="F18" s="204"/>
      <c r="G18" s="204"/>
      <c r="H18" s="204"/>
      <c r="I18" s="204"/>
      <c r="J18" s="217"/>
    </row>
    <row r="19" s="264" customFormat="1" ht="12.75" customHeight="1" spans="1:10">
      <c r="A19" s="28"/>
      <c r="B19" s="28"/>
      <c r="C19" s="203"/>
      <c r="D19" s="204"/>
      <c r="E19" s="204"/>
      <c r="F19" s="204"/>
      <c r="G19" s="204"/>
      <c r="H19" s="204"/>
      <c r="I19" s="204"/>
      <c r="J19" s="217"/>
    </row>
    <row r="20" s="264" customFormat="1" ht="12" spans="1:10">
      <c r="A20" s="28"/>
      <c r="B20" s="28"/>
      <c r="C20" s="203"/>
      <c r="D20" s="204"/>
      <c r="E20" s="204"/>
      <c r="F20" s="204"/>
      <c r="G20" s="204"/>
      <c r="H20" s="204"/>
      <c r="I20" s="204"/>
      <c r="J20" s="217"/>
    </row>
    <row r="21" s="264" customFormat="1" ht="12" spans="1:10">
      <c r="A21" s="28"/>
      <c r="B21" s="28"/>
      <c r="C21" s="203"/>
      <c r="D21" s="204"/>
      <c r="E21" s="204"/>
      <c r="F21" s="204"/>
      <c r="G21" s="204"/>
      <c r="H21" s="204"/>
      <c r="I21" s="204"/>
      <c r="J21" s="217"/>
    </row>
    <row r="22" s="264" customFormat="1" ht="19.5" customHeight="1" spans="1:10">
      <c r="A22" s="28"/>
      <c r="B22" s="28"/>
      <c r="C22" s="242" t="s">
        <v>118</v>
      </c>
      <c r="D22" s="243"/>
      <c r="E22" s="243"/>
      <c r="F22" s="243"/>
      <c r="G22" s="243"/>
      <c r="H22" s="243"/>
      <c r="I22" s="243"/>
      <c r="J22" s="248"/>
    </row>
    <row r="23" s="264" customFormat="1" ht="19.5" customHeight="1" spans="1:10">
      <c r="A23" s="28"/>
      <c r="B23" s="28"/>
      <c r="C23" s="246" t="s">
        <v>358</v>
      </c>
      <c r="D23" s="247"/>
      <c r="E23" s="247"/>
      <c r="F23" s="247"/>
      <c r="G23" s="247"/>
      <c r="H23" s="247"/>
      <c r="I23" s="247"/>
      <c r="J23" s="249"/>
    </row>
    <row r="24" s="264" customFormat="1" ht="30" customHeight="1" spans="1:10">
      <c r="A24" s="28" t="s">
        <v>201</v>
      </c>
      <c r="B24" s="28"/>
      <c r="C24" s="209" t="s">
        <v>377</v>
      </c>
      <c r="D24" s="210"/>
      <c r="E24" s="210"/>
      <c r="F24" s="210"/>
      <c r="G24" s="210"/>
      <c r="H24" s="210"/>
      <c r="I24" s="210"/>
      <c r="J24" s="220"/>
    </row>
    <row r="25" s="264" customFormat="1" ht="12" spans="1:10">
      <c r="A25" s="28"/>
      <c r="B25" s="28"/>
      <c r="C25" s="203"/>
      <c r="D25" s="204"/>
      <c r="E25" s="204"/>
      <c r="F25" s="204"/>
      <c r="G25" s="204"/>
      <c r="H25" s="204"/>
      <c r="I25" s="204"/>
      <c r="J25" s="217"/>
    </row>
    <row r="26" s="264" customFormat="1" ht="12" spans="1:10">
      <c r="A26" s="28"/>
      <c r="B26" s="28"/>
      <c r="C26" s="203" t="s">
        <v>378</v>
      </c>
      <c r="D26" s="204"/>
      <c r="E26" s="204"/>
      <c r="F26" s="204"/>
      <c r="G26" s="204"/>
      <c r="H26" s="204"/>
      <c r="I26" s="204"/>
      <c r="J26" s="217"/>
    </row>
    <row r="27" s="264" customFormat="1" ht="12" spans="1:10">
      <c r="A27" s="28"/>
      <c r="B27" s="28"/>
      <c r="C27" s="203"/>
      <c r="D27" s="204"/>
      <c r="E27" s="204"/>
      <c r="F27" s="204"/>
      <c r="G27" s="204"/>
      <c r="H27" s="204"/>
      <c r="I27" s="204"/>
      <c r="J27" s="217"/>
    </row>
    <row r="28" s="264" customFormat="1" ht="12" spans="1:10">
      <c r="A28" s="28"/>
      <c r="B28" s="28"/>
      <c r="C28" s="203"/>
      <c r="D28" s="204"/>
      <c r="E28" s="204"/>
      <c r="F28" s="204"/>
      <c r="G28" s="204"/>
      <c r="H28" s="204"/>
      <c r="I28" s="204"/>
      <c r="J28" s="217"/>
    </row>
    <row r="29" s="264" customFormat="1" ht="12" spans="1:10">
      <c r="A29" s="28"/>
      <c r="B29" s="28"/>
      <c r="C29" s="203"/>
      <c r="D29" s="204"/>
      <c r="E29" s="204"/>
      <c r="F29" s="204"/>
      <c r="G29" s="204"/>
      <c r="H29" s="204"/>
      <c r="I29" s="204"/>
      <c r="J29" s="217"/>
    </row>
    <row r="30" s="264" customFormat="1" ht="25.5" customHeight="1" spans="1:10">
      <c r="A30" s="28"/>
      <c r="B30" s="28"/>
      <c r="C30" s="203"/>
      <c r="D30" s="204"/>
      <c r="E30" s="204"/>
      <c r="F30" s="204"/>
      <c r="G30" s="204"/>
      <c r="H30" s="204"/>
      <c r="I30" s="204"/>
      <c r="J30" s="217"/>
    </row>
    <row r="31" s="264" customFormat="1" ht="12" spans="1:10">
      <c r="A31" s="28"/>
      <c r="B31" s="28"/>
      <c r="C31" s="203"/>
      <c r="D31" s="204"/>
      <c r="E31" s="204"/>
      <c r="F31" s="204"/>
      <c r="G31" s="204"/>
      <c r="H31" s="204"/>
      <c r="I31" s="204"/>
      <c r="J31" s="217"/>
    </row>
    <row r="32" s="264" customFormat="1" ht="20.25" customHeight="1" spans="1:10">
      <c r="A32" s="28"/>
      <c r="B32" s="28"/>
      <c r="C32" s="242" t="s">
        <v>118</v>
      </c>
      <c r="D32" s="243"/>
      <c r="E32" s="243"/>
      <c r="F32" s="243"/>
      <c r="G32" s="243"/>
      <c r="H32" s="243"/>
      <c r="I32" s="243"/>
      <c r="J32" s="248"/>
    </row>
    <row r="33" s="1" customFormat="1" ht="20.25" customHeight="1" spans="1:10">
      <c r="A33" s="28"/>
      <c r="B33" s="28"/>
      <c r="C33" s="265" t="s">
        <v>358</v>
      </c>
      <c r="D33" s="266"/>
      <c r="E33" s="266"/>
      <c r="F33" s="266"/>
      <c r="G33" s="266"/>
      <c r="H33" s="266"/>
      <c r="I33" s="266"/>
      <c r="J33" s="267"/>
    </row>
    <row r="34" s="1" customFormat="1" spans="1:10">
      <c r="A34" s="49"/>
      <c r="B34" s="49"/>
      <c r="C34" s="49"/>
      <c r="D34" s="49"/>
      <c r="E34" s="49"/>
      <c r="F34" s="49"/>
      <c r="G34" s="49"/>
      <c r="H34" s="49"/>
      <c r="I34" s="49"/>
      <c r="J34" s="49"/>
    </row>
  </sheetData>
  <mergeCells count="54">
    <mergeCell ref="A1:J1"/>
    <mergeCell ref="A2:J2"/>
    <mergeCell ref="A3:C3"/>
    <mergeCell ref="D3:E3"/>
    <mergeCell ref="G3:J3"/>
    <mergeCell ref="A4:C4"/>
    <mergeCell ref="D4:E4"/>
    <mergeCell ref="G4:J4"/>
    <mergeCell ref="A5:C5"/>
    <mergeCell ref="D5:E5"/>
    <mergeCell ref="G5:J5"/>
    <mergeCell ref="A6:B6"/>
    <mergeCell ref="C6:D6"/>
    <mergeCell ref="E6:G6"/>
    <mergeCell ref="C10:D10"/>
    <mergeCell ref="E10:G10"/>
    <mergeCell ref="C13:D13"/>
    <mergeCell ref="E13:G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A7:A10"/>
    <mergeCell ref="A11:A13"/>
    <mergeCell ref="B7:B9"/>
    <mergeCell ref="B11:B12"/>
    <mergeCell ref="H7:H9"/>
    <mergeCell ref="H11:H12"/>
    <mergeCell ref="I7:I9"/>
    <mergeCell ref="I11:I12"/>
    <mergeCell ref="J7:J9"/>
    <mergeCell ref="J11:J12"/>
    <mergeCell ref="C7:D9"/>
    <mergeCell ref="E7:G9"/>
    <mergeCell ref="C11:D12"/>
    <mergeCell ref="E11:G12"/>
    <mergeCell ref="A14:B23"/>
    <mergeCell ref="A24:B33"/>
  </mergeCells>
  <pageMargins left="0.75" right="0.75" top="1" bottom="1" header="0.5" footer="0.5"/>
  <pageSetup paperSize="9" scale="9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6"/>
  <sheetViews>
    <sheetView topLeftCell="A11" workbookViewId="0">
      <selection activeCell="R18" sqref="R18"/>
    </sheetView>
  </sheetViews>
  <sheetFormatPr defaultColWidth="9.14285714285714" defaultRowHeight="13.5"/>
  <cols>
    <col min="1" max="2" width="3.42857142857143" style="1" customWidth="1"/>
    <col min="3" max="3" width="4.57142857142857" style="1" customWidth="1"/>
    <col min="4" max="4" width="7.85714285714286" style="1" customWidth="1"/>
    <col min="5" max="5" width="1.42857142857143" style="1" customWidth="1"/>
    <col min="6" max="6" width="15.1428571428571" style="1" customWidth="1"/>
    <col min="7" max="8" width="11.7142857142857" style="1" customWidth="1"/>
    <col min="9" max="13" width="4.42857142857143" style="1" customWidth="1"/>
    <col min="14" max="14" width="7.85714285714286" style="1" customWidth="1"/>
    <col min="15" max="16" width="8.14285714285714" style="1" customWidth="1"/>
  </cols>
  <sheetData>
    <row r="1" s="1" customFormat="1" ht="18.75" spans="1:16">
      <c r="A1" s="2" t="s">
        <v>346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="1" customFormat="1" ht="18.75" spans="1:16">
      <c r="A2" s="237" t="s">
        <v>379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</row>
    <row r="3" s="1" customFormat="1" ht="33" customHeight="1" spans="1:16">
      <c r="A3" s="28" t="s">
        <v>95</v>
      </c>
      <c r="B3" s="28"/>
      <c r="C3" s="28"/>
      <c r="D3" s="28"/>
      <c r="E3" s="28"/>
      <c r="F3" s="238" t="s">
        <v>348</v>
      </c>
      <c r="G3" s="238"/>
      <c r="H3" s="28" t="s">
        <v>128</v>
      </c>
      <c r="I3" s="256" t="s">
        <v>129</v>
      </c>
      <c r="J3" s="257"/>
      <c r="K3" s="257"/>
      <c r="L3" s="257"/>
      <c r="M3" s="257"/>
      <c r="N3" s="257"/>
      <c r="O3" s="257"/>
      <c r="P3" s="258"/>
    </row>
    <row r="4" s="1" customFormat="1" ht="18.75" customHeight="1" spans="1:16">
      <c r="A4" s="28" t="s">
        <v>97</v>
      </c>
      <c r="B4" s="28"/>
      <c r="C4" s="28"/>
      <c r="D4" s="28"/>
      <c r="E4" s="28"/>
      <c r="F4" s="238" t="s">
        <v>350</v>
      </c>
      <c r="G4" s="238"/>
      <c r="H4" s="28" t="s">
        <v>98</v>
      </c>
      <c r="I4" s="92" t="s">
        <v>99</v>
      </c>
      <c r="J4" s="86"/>
      <c r="K4" s="86"/>
      <c r="L4" s="86"/>
      <c r="M4" s="86"/>
      <c r="N4" s="86"/>
      <c r="O4" s="86"/>
      <c r="P4" s="87"/>
    </row>
    <row r="5" s="1" customFormat="1" ht="22.5" customHeight="1" spans="1:16">
      <c r="A5" s="28" t="s">
        <v>100</v>
      </c>
      <c r="B5" s="28"/>
      <c r="C5" s="28"/>
      <c r="D5" s="28"/>
      <c r="E5" s="28"/>
      <c r="F5" s="238" t="s">
        <v>351</v>
      </c>
      <c r="G5" s="238"/>
      <c r="H5" s="28" t="s">
        <v>102</v>
      </c>
      <c r="I5" s="148" t="s">
        <v>352</v>
      </c>
      <c r="J5" s="212"/>
      <c r="K5" s="212"/>
      <c r="L5" s="212"/>
      <c r="M5" s="212"/>
      <c r="N5" s="212"/>
      <c r="O5" s="212"/>
      <c r="P5" s="35"/>
    </row>
    <row r="6" s="1" customFormat="1" ht="23.25" customHeight="1" spans="1:16">
      <c r="A6" s="28" t="s">
        <v>50</v>
      </c>
      <c r="B6" s="28"/>
      <c r="C6" s="28" t="s">
        <v>133</v>
      </c>
      <c r="D6" s="28"/>
      <c r="E6" s="28"/>
      <c r="F6" s="28"/>
      <c r="G6" s="28" t="s">
        <v>134</v>
      </c>
      <c r="H6" s="28"/>
      <c r="I6" s="148" t="s">
        <v>135</v>
      </c>
      <c r="J6" s="212"/>
      <c r="K6" s="212"/>
      <c r="L6" s="212"/>
      <c r="M6" s="212"/>
      <c r="N6" s="35"/>
      <c r="O6" s="28" t="s">
        <v>136</v>
      </c>
      <c r="P6" s="28" t="s">
        <v>137</v>
      </c>
    </row>
    <row r="7" s="1" customFormat="1" ht="53" customHeight="1" spans="1:16">
      <c r="A7" s="221" t="s">
        <v>138</v>
      </c>
      <c r="B7" s="28">
        <v>1</v>
      </c>
      <c r="C7" s="28" t="s">
        <v>380</v>
      </c>
      <c r="D7" s="28"/>
      <c r="E7" s="28"/>
      <c r="F7" s="28"/>
      <c r="G7" s="28" t="s">
        <v>344</v>
      </c>
      <c r="H7" s="28"/>
      <c r="I7" s="148" t="s">
        <v>381</v>
      </c>
      <c r="J7" s="149"/>
      <c r="K7" s="149"/>
      <c r="L7" s="149"/>
      <c r="M7" s="149"/>
      <c r="N7" s="150"/>
      <c r="O7" s="29" t="s">
        <v>129</v>
      </c>
      <c r="P7" s="58">
        <v>1</v>
      </c>
    </row>
    <row r="8" s="1" customFormat="1" ht="68.25" customHeight="1" spans="1:16">
      <c r="A8" s="250"/>
      <c r="B8" s="221">
        <v>2</v>
      </c>
      <c r="C8" s="139" t="s">
        <v>382</v>
      </c>
      <c r="D8" s="251"/>
      <c r="E8" s="251"/>
      <c r="F8" s="240"/>
      <c r="G8" s="252" t="s">
        <v>383</v>
      </c>
      <c r="H8" s="252"/>
      <c r="I8" s="139" t="s">
        <v>384</v>
      </c>
      <c r="J8" s="140"/>
      <c r="K8" s="140"/>
      <c r="L8" s="140"/>
      <c r="M8" s="140"/>
      <c r="N8" s="141"/>
      <c r="O8" s="259" t="s">
        <v>129</v>
      </c>
      <c r="P8" s="143">
        <v>1</v>
      </c>
    </row>
    <row r="9" s="1" customFormat="1" ht="21" customHeight="1" spans="1:16">
      <c r="A9" s="228"/>
      <c r="B9" s="228"/>
      <c r="C9" s="244"/>
      <c r="D9" s="253"/>
      <c r="E9" s="253"/>
      <c r="F9" s="253"/>
      <c r="G9" s="254" t="s">
        <v>385</v>
      </c>
      <c r="H9" s="245"/>
      <c r="I9" s="145"/>
      <c r="J9" s="145"/>
      <c r="K9" s="145"/>
      <c r="L9" s="145"/>
      <c r="M9" s="145"/>
      <c r="N9" s="146"/>
      <c r="O9" s="260"/>
      <c r="P9" s="147"/>
    </row>
    <row r="10" s="1" customFormat="1" ht="21" customHeight="1" spans="1:16">
      <c r="A10" s="28" t="s">
        <v>148</v>
      </c>
      <c r="B10" s="28">
        <v>1</v>
      </c>
      <c r="C10" s="28" t="s">
        <v>386</v>
      </c>
      <c r="D10" s="28" t="s">
        <v>387</v>
      </c>
      <c r="E10" s="28"/>
      <c r="F10" s="28"/>
      <c r="G10" s="255" t="s">
        <v>388</v>
      </c>
      <c r="H10" s="255"/>
      <c r="I10" s="155" t="s">
        <v>129</v>
      </c>
      <c r="J10" s="149"/>
      <c r="K10" s="149"/>
      <c r="L10" s="149"/>
      <c r="M10" s="149"/>
      <c r="N10" s="150"/>
      <c r="O10" s="29" t="s">
        <v>129</v>
      </c>
      <c r="P10" s="29" t="s">
        <v>129</v>
      </c>
    </row>
    <row r="11" s="1" customFormat="1" ht="21" customHeight="1" spans="1:16">
      <c r="A11" s="28"/>
      <c r="B11" s="28">
        <v>2</v>
      </c>
      <c r="C11" s="28"/>
      <c r="D11" s="28" t="s">
        <v>389</v>
      </c>
      <c r="E11" s="28" t="s">
        <v>390</v>
      </c>
      <c r="F11" s="28"/>
      <c r="G11" s="202" t="s">
        <v>391</v>
      </c>
      <c r="H11" s="202"/>
      <c r="I11" s="155" t="s">
        <v>129</v>
      </c>
      <c r="J11" s="149"/>
      <c r="K11" s="149"/>
      <c r="L11" s="149"/>
      <c r="M11" s="149"/>
      <c r="N11" s="150"/>
      <c r="O11" s="29" t="s">
        <v>129</v>
      </c>
      <c r="P11" s="29" t="s">
        <v>129</v>
      </c>
    </row>
    <row r="12" s="1" customFormat="1" ht="21" customHeight="1" spans="1:16">
      <c r="A12" s="28"/>
      <c r="B12" s="28">
        <v>3</v>
      </c>
      <c r="C12" s="28"/>
      <c r="D12" s="28"/>
      <c r="E12" s="28" t="s">
        <v>392</v>
      </c>
      <c r="F12" s="28"/>
      <c r="G12" s="202" t="s">
        <v>393</v>
      </c>
      <c r="H12" s="202"/>
      <c r="I12" s="155" t="s">
        <v>129</v>
      </c>
      <c r="J12" s="149"/>
      <c r="K12" s="149"/>
      <c r="L12" s="149"/>
      <c r="M12" s="149"/>
      <c r="N12" s="150"/>
      <c r="O12" s="29" t="s">
        <v>129</v>
      </c>
      <c r="P12" s="29" t="s">
        <v>129</v>
      </c>
    </row>
    <row r="13" s="1" customFormat="1" ht="21" customHeight="1" spans="1:16">
      <c r="A13" s="28"/>
      <c r="B13" s="28">
        <v>4</v>
      </c>
      <c r="C13" s="28"/>
      <c r="D13" s="202" t="s">
        <v>394</v>
      </c>
      <c r="E13" s="202"/>
      <c r="F13" s="202"/>
      <c r="G13" s="202" t="s">
        <v>395</v>
      </c>
      <c r="H13" s="202"/>
      <c r="I13" s="155" t="s">
        <v>129</v>
      </c>
      <c r="J13" s="149"/>
      <c r="K13" s="149"/>
      <c r="L13" s="149"/>
      <c r="M13" s="149"/>
      <c r="N13" s="150"/>
      <c r="O13" s="29" t="s">
        <v>129</v>
      </c>
      <c r="P13" s="29" t="s">
        <v>129</v>
      </c>
    </row>
    <row r="14" s="1" customFormat="1" ht="33" customHeight="1" spans="1:16">
      <c r="A14" s="28"/>
      <c r="B14" s="28">
        <v>5</v>
      </c>
      <c r="C14" s="28" t="s">
        <v>396</v>
      </c>
      <c r="D14" s="202" t="s">
        <v>387</v>
      </c>
      <c r="E14" s="202"/>
      <c r="F14" s="202"/>
      <c r="G14" s="202" t="s">
        <v>388</v>
      </c>
      <c r="H14" s="202"/>
      <c r="I14" s="261" t="s">
        <v>397</v>
      </c>
      <c r="J14" s="153"/>
      <c r="K14" s="153"/>
      <c r="L14" s="153"/>
      <c r="M14" s="153"/>
      <c r="N14" s="154"/>
      <c r="O14" s="73">
        <v>8</v>
      </c>
      <c r="P14" s="73">
        <v>80</v>
      </c>
    </row>
    <row r="15" s="1" customFormat="1" ht="85" customHeight="1" spans="1:16">
      <c r="A15" s="28"/>
      <c r="B15" s="28">
        <v>6</v>
      </c>
      <c r="C15" s="28"/>
      <c r="D15" s="202" t="s">
        <v>398</v>
      </c>
      <c r="E15" s="202"/>
      <c r="F15" s="202"/>
      <c r="G15" s="202" t="s">
        <v>399</v>
      </c>
      <c r="H15" s="202"/>
      <c r="I15" s="152" t="s">
        <v>400</v>
      </c>
      <c r="J15" s="153"/>
      <c r="K15" s="153"/>
      <c r="L15" s="153"/>
      <c r="M15" s="153"/>
      <c r="N15" s="154"/>
      <c r="O15" s="73">
        <v>8</v>
      </c>
      <c r="P15" s="73">
        <v>80</v>
      </c>
    </row>
    <row r="16" s="1" customFormat="1" ht="21" customHeight="1" spans="1:16">
      <c r="A16" s="28"/>
      <c r="B16" s="28">
        <v>7</v>
      </c>
      <c r="C16" s="28" t="s">
        <v>401</v>
      </c>
      <c r="D16" s="202" t="s">
        <v>402</v>
      </c>
      <c r="E16" s="202"/>
      <c r="F16" s="202"/>
      <c r="G16" s="202" t="s">
        <v>388</v>
      </c>
      <c r="H16" s="202"/>
      <c r="I16" s="155" t="s">
        <v>129</v>
      </c>
      <c r="J16" s="149"/>
      <c r="K16" s="149"/>
      <c r="L16" s="149"/>
      <c r="M16" s="149"/>
      <c r="N16" s="150"/>
      <c r="O16" s="29" t="s">
        <v>129</v>
      </c>
      <c r="P16" s="29" t="s">
        <v>129</v>
      </c>
    </row>
    <row r="17" s="1" customFormat="1" ht="21" customHeight="1" spans="1:16">
      <c r="A17" s="28"/>
      <c r="B17" s="28">
        <v>8</v>
      </c>
      <c r="C17" s="28"/>
      <c r="D17" s="28" t="s">
        <v>403</v>
      </c>
      <c r="E17" s="202" t="s">
        <v>404</v>
      </c>
      <c r="F17" s="202"/>
      <c r="G17" s="202" t="s">
        <v>405</v>
      </c>
      <c r="H17" s="202"/>
      <c r="I17" s="155" t="s">
        <v>129</v>
      </c>
      <c r="J17" s="149"/>
      <c r="K17" s="149"/>
      <c r="L17" s="149"/>
      <c r="M17" s="149"/>
      <c r="N17" s="150"/>
      <c r="O17" s="29" t="s">
        <v>129</v>
      </c>
      <c r="P17" s="29" t="s">
        <v>129</v>
      </c>
    </row>
    <row r="18" s="1" customFormat="1" ht="21" customHeight="1" spans="1:16">
      <c r="A18" s="28"/>
      <c r="B18" s="28">
        <v>9</v>
      </c>
      <c r="C18" s="28"/>
      <c r="D18" s="28" t="s">
        <v>406</v>
      </c>
      <c r="E18" s="202" t="s">
        <v>407</v>
      </c>
      <c r="F18" s="202"/>
      <c r="G18" s="202" t="s">
        <v>408</v>
      </c>
      <c r="H18" s="202"/>
      <c r="I18" s="155" t="s">
        <v>129</v>
      </c>
      <c r="J18" s="149"/>
      <c r="K18" s="149"/>
      <c r="L18" s="149"/>
      <c r="M18" s="149"/>
      <c r="N18" s="150"/>
      <c r="O18" s="29" t="s">
        <v>129</v>
      </c>
      <c r="P18" s="29" t="s">
        <v>129</v>
      </c>
    </row>
    <row r="19" s="1" customFormat="1" ht="21" customHeight="1" spans="1:16">
      <c r="A19" s="28"/>
      <c r="B19" s="28">
        <v>10</v>
      </c>
      <c r="C19" s="28" t="s">
        <v>409</v>
      </c>
      <c r="D19" s="28" t="s">
        <v>410</v>
      </c>
      <c r="E19" s="202" t="s">
        <v>411</v>
      </c>
      <c r="F19" s="202"/>
      <c r="G19" s="202" t="s">
        <v>408</v>
      </c>
      <c r="H19" s="202"/>
      <c r="I19" s="155" t="s">
        <v>129</v>
      </c>
      <c r="J19" s="149"/>
      <c r="K19" s="149"/>
      <c r="L19" s="149"/>
      <c r="M19" s="149"/>
      <c r="N19" s="150"/>
      <c r="O19" s="29" t="s">
        <v>129</v>
      </c>
      <c r="P19" s="29" t="s">
        <v>129</v>
      </c>
    </row>
    <row r="20" s="1" customFormat="1" ht="21" customHeight="1" spans="1:16">
      <c r="A20" s="28"/>
      <c r="B20" s="28">
        <v>11</v>
      </c>
      <c r="C20" s="28"/>
      <c r="D20" s="28"/>
      <c r="E20" s="202" t="s">
        <v>412</v>
      </c>
      <c r="F20" s="202"/>
      <c r="G20" s="202" t="s">
        <v>413</v>
      </c>
      <c r="H20" s="202"/>
      <c r="I20" s="155" t="s">
        <v>129</v>
      </c>
      <c r="J20" s="149"/>
      <c r="K20" s="149"/>
      <c r="L20" s="149"/>
      <c r="M20" s="149"/>
      <c r="N20" s="150"/>
      <c r="O20" s="29" t="s">
        <v>129</v>
      </c>
      <c r="P20" s="29" t="s">
        <v>129</v>
      </c>
    </row>
    <row r="21" s="1" customFormat="1" ht="21" customHeight="1" spans="1:16">
      <c r="A21" s="28"/>
      <c r="B21" s="221">
        <v>12</v>
      </c>
      <c r="C21" s="139" t="s">
        <v>414</v>
      </c>
      <c r="D21" s="240"/>
      <c r="E21" s="139" t="s">
        <v>387</v>
      </c>
      <c r="F21" s="240"/>
      <c r="G21" s="139" t="s">
        <v>415</v>
      </c>
      <c r="H21" s="251"/>
      <c r="I21" s="262" t="s">
        <v>416</v>
      </c>
      <c r="J21" s="96"/>
      <c r="K21" s="96"/>
      <c r="L21" s="96"/>
      <c r="M21" s="96"/>
      <c r="N21" s="97"/>
      <c r="O21" s="97">
        <v>6</v>
      </c>
      <c r="P21" s="98">
        <v>0.857</v>
      </c>
    </row>
    <row r="22" s="1" customFormat="1" ht="21" customHeight="1" spans="1:16">
      <c r="A22" s="28"/>
      <c r="B22" s="228"/>
      <c r="C22" s="229"/>
      <c r="D22" s="241"/>
      <c r="E22" s="244"/>
      <c r="F22" s="245"/>
      <c r="G22" s="244"/>
      <c r="H22" s="253"/>
      <c r="I22" s="263"/>
      <c r="J22" s="104"/>
      <c r="K22" s="104"/>
      <c r="L22" s="104"/>
      <c r="M22" s="104"/>
      <c r="N22" s="102"/>
      <c r="O22" s="102"/>
      <c r="P22" s="103"/>
    </row>
    <row r="23" s="1" customFormat="1" ht="30" customHeight="1" spans="1:16">
      <c r="A23" s="28"/>
      <c r="B23" s="221">
        <v>13</v>
      </c>
      <c r="C23" s="229"/>
      <c r="D23" s="241"/>
      <c r="E23" s="139" t="s">
        <v>417</v>
      </c>
      <c r="F23" s="240"/>
      <c r="G23" s="139" t="s">
        <v>391</v>
      </c>
      <c r="H23" s="240"/>
      <c r="I23" s="95" t="s">
        <v>418</v>
      </c>
      <c r="J23" s="96"/>
      <c r="K23" s="96"/>
      <c r="L23" s="96"/>
      <c r="M23" s="96"/>
      <c r="N23" s="97"/>
      <c r="O23" s="97">
        <v>8</v>
      </c>
      <c r="P23" s="98">
        <v>0.8</v>
      </c>
    </row>
    <row r="24" s="1" customFormat="1" ht="30" customHeight="1" spans="1:16">
      <c r="A24" s="28"/>
      <c r="B24" s="228"/>
      <c r="C24" s="244"/>
      <c r="D24" s="245"/>
      <c r="E24" s="244"/>
      <c r="F24" s="245"/>
      <c r="G24" s="244"/>
      <c r="H24" s="245"/>
      <c r="I24" s="263"/>
      <c r="J24" s="104"/>
      <c r="K24" s="104"/>
      <c r="L24" s="104"/>
      <c r="M24" s="104"/>
      <c r="N24" s="102"/>
      <c r="O24" s="102"/>
      <c r="P24" s="103"/>
    </row>
    <row r="25" s="1" customFormat="1" ht="21" customHeight="1" spans="1:16">
      <c r="A25" s="28"/>
      <c r="B25" s="28">
        <v>14</v>
      </c>
      <c r="C25" s="202" t="s">
        <v>419</v>
      </c>
      <c r="D25" s="202"/>
      <c r="E25" s="202" t="s">
        <v>420</v>
      </c>
      <c r="F25" s="202"/>
      <c r="G25" s="202" t="s">
        <v>421</v>
      </c>
      <c r="H25" s="202"/>
      <c r="I25" s="155" t="s">
        <v>129</v>
      </c>
      <c r="J25" s="149"/>
      <c r="K25" s="149"/>
      <c r="L25" s="149"/>
      <c r="M25" s="149"/>
      <c r="N25" s="150"/>
      <c r="O25" s="29" t="s">
        <v>129</v>
      </c>
      <c r="P25" s="29" t="s">
        <v>129</v>
      </c>
    </row>
    <row r="26" s="1" customFormat="1" ht="21" customHeight="1" spans="1:16">
      <c r="A26" s="28"/>
      <c r="B26" s="28"/>
      <c r="C26" s="202"/>
      <c r="D26" s="202"/>
      <c r="E26" s="202" t="s">
        <v>422</v>
      </c>
      <c r="F26" s="202"/>
      <c r="G26" s="202" t="s">
        <v>423</v>
      </c>
      <c r="H26" s="202"/>
      <c r="I26" s="155" t="s">
        <v>129</v>
      </c>
      <c r="J26" s="149"/>
      <c r="K26" s="149"/>
      <c r="L26" s="149"/>
      <c r="M26" s="149"/>
      <c r="N26" s="150"/>
      <c r="O26" s="29" t="s">
        <v>129</v>
      </c>
      <c r="P26" s="29" t="s">
        <v>129</v>
      </c>
    </row>
    <row r="27" s="1" customFormat="1" ht="32.25" customHeight="1" spans="1:16">
      <c r="A27" s="28" t="s">
        <v>199</v>
      </c>
      <c r="B27" s="28"/>
      <c r="C27" s="209" t="s">
        <v>375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20"/>
    </row>
    <row r="28" s="1" customFormat="1" spans="1:16">
      <c r="A28" s="28"/>
      <c r="B28" s="28"/>
      <c r="C28" s="203" t="s">
        <v>376</v>
      </c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17"/>
    </row>
    <row r="29" s="1" customFormat="1" ht="2.25" customHeight="1" spans="1:16">
      <c r="A29" s="28"/>
      <c r="B29" s="28"/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17"/>
    </row>
    <row r="30" s="1" customFormat="1" ht="18.75" customHeight="1" spans="1:16">
      <c r="A30" s="28"/>
      <c r="B30" s="28"/>
      <c r="C30" s="242" t="s">
        <v>118</v>
      </c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8"/>
    </row>
    <row r="31" s="1" customFormat="1" ht="21" customHeight="1" spans="1:16">
      <c r="A31" s="28"/>
      <c r="B31" s="28"/>
      <c r="C31" s="246" t="s">
        <v>358</v>
      </c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9"/>
    </row>
    <row r="32" s="1" customFormat="1" ht="32.25" customHeight="1" spans="1:16">
      <c r="A32" s="28" t="s">
        <v>201</v>
      </c>
      <c r="B32" s="28"/>
      <c r="C32" s="209" t="s">
        <v>377</v>
      </c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20"/>
    </row>
    <row r="33" s="1" customFormat="1" spans="1:16">
      <c r="A33" s="28"/>
      <c r="B33" s="28"/>
      <c r="C33" s="203" t="s">
        <v>378</v>
      </c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17"/>
    </row>
    <row r="34" s="1" customFormat="1" spans="1:16">
      <c r="A34" s="28"/>
      <c r="B34" s="28"/>
      <c r="C34" s="203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17"/>
    </row>
    <row r="35" s="1" customFormat="1" ht="18" customHeight="1" spans="1:16">
      <c r="A35" s="28"/>
      <c r="B35" s="28"/>
      <c r="C35" s="242" t="s">
        <v>118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8"/>
    </row>
    <row r="36" s="1" customFormat="1" ht="18" customHeight="1" spans="1:16">
      <c r="A36" s="28"/>
      <c r="B36" s="28"/>
      <c r="C36" s="246" t="s">
        <v>358</v>
      </c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9"/>
    </row>
  </sheetData>
  <mergeCells count="97">
    <mergeCell ref="A1:P1"/>
    <mergeCell ref="A2:P2"/>
    <mergeCell ref="A3:E3"/>
    <mergeCell ref="F3:G3"/>
    <mergeCell ref="I3:P3"/>
    <mergeCell ref="A4:E4"/>
    <mergeCell ref="F4:G4"/>
    <mergeCell ref="I4:P4"/>
    <mergeCell ref="A5:E5"/>
    <mergeCell ref="F5:G5"/>
    <mergeCell ref="I5:P5"/>
    <mergeCell ref="A6:B6"/>
    <mergeCell ref="C6:F6"/>
    <mergeCell ref="G6:H6"/>
    <mergeCell ref="I6:N6"/>
    <mergeCell ref="C7:F7"/>
    <mergeCell ref="G7:H7"/>
    <mergeCell ref="I7:N7"/>
    <mergeCell ref="G8:H8"/>
    <mergeCell ref="G9:H9"/>
    <mergeCell ref="D10:F10"/>
    <mergeCell ref="G10:H10"/>
    <mergeCell ref="I10:N10"/>
    <mergeCell ref="E11:F11"/>
    <mergeCell ref="G11:H11"/>
    <mergeCell ref="I11:N11"/>
    <mergeCell ref="E12:F12"/>
    <mergeCell ref="G12:H12"/>
    <mergeCell ref="I12:N12"/>
    <mergeCell ref="D13:F13"/>
    <mergeCell ref="G13:H13"/>
    <mergeCell ref="I13:N13"/>
    <mergeCell ref="D14:F14"/>
    <mergeCell ref="G14:H14"/>
    <mergeCell ref="I14:N14"/>
    <mergeCell ref="D15:F15"/>
    <mergeCell ref="G15:H15"/>
    <mergeCell ref="I15:N15"/>
    <mergeCell ref="D16:F16"/>
    <mergeCell ref="G16:H16"/>
    <mergeCell ref="I16:N16"/>
    <mergeCell ref="E17:F17"/>
    <mergeCell ref="G17:H17"/>
    <mergeCell ref="I17:N17"/>
    <mergeCell ref="E18:F18"/>
    <mergeCell ref="G18:H18"/>
    <mergeCell ref="I18:N18"/>
    <mergeCell ref="E19:F19"/>
    <mergeCell ref="G19:H19"/>
    <mergeCell ref="I19:N19"/>
    <mergeCell ref="E20:F20"/>
    <mergeCell ref="G20:H20"/>
    <mergeCell ref="I20:N20"/>
    <mergeCell ref="E25:F25"/>
    <mergeCell ref="G25:H25"/>
    <mergeCell ref="I25:N25"/>
    <mergeCell ref="E26:F26"/>
    <mergeCell ref="G26:H26"/>
    <mergeCell ref="I26:N26"/>
    <mergeCell ref="C27:P27"/>
    <mergeCell ref="C28:P28"/>
    <mergeCell ref="C30:P30"/>
    <mergeCell ref="C31:P31"/>
    <mergeCell ref="C32:P32"/>
    <mergeCell ref="C33:P33"/>
    <mergeCell ref="C35:P35"/>
    <mergeCell ref="C36:P36"/>
    <mergeCell ref="A7:A9"/>
    <mergeCell ref="A10:A26"/>
    <mergeCell ref="B8:B9"/>
    <mergeCell ref="B21:B22"/>
    <mergeCell ref="B23:B24"/>
    <mergeCell ref="B25:B26"/>
    <mergeCell ref="C10:C13"/>
    <mergeCell ref="C14:C15"/>
    <mergeCell ref="C16:C18"/>
    <mergeCell ref="C19:C20"/>
    <mergeCell ref="D11:D12"/>
    <mergeCell ref="D19:D20"/>
    <mergeCell ref="O8:O9"/>
    <mergeCell ref="O21:O22"/>
    <mergeCell ref="O23:O24"/>
    <mergeCell ref="P8:P9"/>
    <mergeCell ref="P21:P22"/>
    <mergeCell ref="P23:P24"/>
    <mergeCell ref="C8:F9"/>
    <mergeCell ref="I8:N9"/>
    <mergeCell ref="C21:D24"/>
    <mergeCell ref="E21:F22"/>
    <mergeCell ref="G21:H22"/>
    <mergeCell ref="I21:N22"/>
    <mergeCell ref="E23:F24"/>
    <mergeCell ref="G23:H24"/>
    <mergeCell ref="I23:N24"/>
    <mergeCell ref="C25:D26"/>
    <mergeCell ref="A27:B31"/>
    <mergeCell ref="A32:B36"/>
  </mergeCells>
  <pageMargins left="0.75" right="0.75" top="1" bottom="1" header="0.5" footer="0.5"/>
  <pageSetup paperSize="9" scale="74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opLeftCell="A3" workbookViewId="0">
      <selection activeCell="C19" sqref="C19:J19"/>
    </sheetView>
  </sheetViews>
  <sheetFormatPr defaultColWidth="9.14285714285714" defaultRowHeight="13.5"/>
  <cols>
    <col min="1" max="1" width="3.85714285714286" style="1" customWidth="1"/>
    <col min="2" max="2" width="3.71428571428571" style="1" customWidth="1"/>
    <col min="3" max="3" width="11.7142857142857" style="1" customWidth="1"/>
    <col min="4" max="4" width="14.2857142857143" style="1" customWidth="1"/>
    <col min="5" max="5" width="16.2857142857143" style="1" customWidth="1"/>
    <col min="6" max="6" width="10.2857142857143" style="1"/>
    <col min="7" max="7" width="3.85714285714286" style="1" customWidth="1"/>
    <col min="8" max="8" width="22.4285714285714" style="1" customWidth="1"/>
    <col min="9" max="10" width="7.71428571428571" style="1" customWidth="1"/>
  </cols>
  <sheetData>
    <row r="1" s="1" customFormat="1" ht="21.75" customHeight="1" spans="1:10">
      <c r="A1" s="2" t="s">
        <v>346</v>
      </c>
      <c r="B1" s="112"/>
      <c r="C1" s="112"/>
      <c r="D1" s="112"/>
      <c r="E1" s="112"/>
      <c r="F1" s="112"/>
      <c r="G1" s="112"/>
      <c r="H1" s="112"/>
      <c r="I1" s="112"/>
      <c r="J1" s="112"/>
    </row>
    <row r="2" s="1" customFormat="1" ht="21.75" customHeight="1" spans="1:10">
      <c r="A2" s="237" t="s">
        <v>424</v>
      </c>
      <c r="B2" s="237"/>
      <c r="C2" s="237"/>
      <c r="D2" s="237"/>
      <c r="E2" s="237"/>
      <c r="F2" s="237"/>
      <c r="G2" s="237"/>
      <c r="H2" s="237"/>
      <c r="I2" s="237"/>
      <c r="J2" s="237"/>
    </row>
    <row r="3" s="1" customFormat="1" ht="33.75" customHeight="1" spans="1:10">
      <c r="A3" s="28" t="s">
        <v>95</v>
      </c>
      <c r="B3" s="28"/>
      <c r="C3" s="28"/>
      <c r="D3" s="238" t="s">
        <v>348</v>
      </c>
      <c r="E3" s="238"/>
      <c r="F3" s="28" t="s">
        <v>128</v>
      </c>
      <c r="G3" s="239" t="s">
        <v>129</v>
      </c>
      <c r="H3" s="239"/>
      <c r="I3" s="239"/>
      <c r="J3" s="239"/>
    </row>
    <row r="4" s="1" customFormat="1" ht="26.25" customHeight="1" spans="1:10">
      <c r="A4" s="28" t="s">
        <v>97</v>
      </c>
      <c r="B4" s="28"/>
      <c r="C4" s="28"/>
      <c r="D4" s="238" t="s">
        <v>350</v>
      </c>
      <c r="E4" s="238"/>
      <c r="F4" s="28" t="s">
        <v>98</v>
      </c>
      <c r="G4" s="239" t="s">
        <v>99</v>
      </c>
      <c r="H4" s="239"/>
      <c r="I4" s="239"/>
      <c r="J4" s="239"/>
    </row>
    <row r="5" s="1" customFormat="1" ht="26.25" customHeight="1" spans="1:10">
      <c r="A5" s="28" t="s">
        <v>100</v>
      </c>
      <c r="B5" s="28"/>
      <c r="C5" s="28"/>
      <c r="D5" s="238" t="s">
        <v>351</v>
      </c>
      <c r="E5" s="238"/>
      <c r="F5" s="28" t="s">
        <v>102</v>
      </c>
      <c r="G5" s="28" t="s">
        <v>352</v>
      </c>
      <c r="H5" s="28"/>
      <c r="I5" s="28"/>
      <c r="J5" s="28"/>
    </row>
    <row r="6" s="1" customFormat="1" spans="1:10">
      <c r="A6" s="28" t="s">
        <v>50</v>
      </c>
      <c r="B6" s="28"/>
      <c r="C6" s="28" t="s">
        <v>133</v>
      </c>
      <c r="D6" s="28"/>
      <c r="E6" s="28" t="s">
        <v>134</v>
      </c>
      <c r="F6" s="28"/>
      <c r="G6" s="28"/>
      <c r="H6" s="28" t="s">
        <v>135</v>
      </c>
      <c r="I6" s="28" t="s">
        <v>136</v>
      </c>
      <c r="J6" s="28" t="s">
        <v>137</v>
      </c>
    </row>
    <row r="7" s="1" customFormat="1" ht="63.75" customHeight="1" spans="1:10">
      <c r="A7" s="28" t="s">
        <v>138</v>
      </c>
      <c r="B7" s="28">
        <v>1</v>
      </c>
      <c r="C7" s="202" t="s">
        <v>425</v>
      </c>
      <c r="D7" s="202"/>
      <c r="E7" s="202" t="s">
        <v>426</v>
      </c>
      <c r="F7" s="202"/>
      <c r="G7" s="202"/>
      <c r="H7" s="28" t="s">
        <v>427</v>
      </c>
      <c r="I7" s="29" t="s">
        <v>129</v>
      </c>
      <c r="J7" s="58">
        <v>1</v>
      </c>
    </row>
    <row r="8" s="1" customFormat="1" ht="54.75" customHeight="1" spans="1:10">
      <c r="A8" s="28" t="s">
        <v>148</v>
      </c>
      <c r="B8" s="28">
        <v>1</v>
      </c>
      <c r="C8" s="202" t="s">
        <v>428</v>
      </c>
      <c r="D8" s="202"/>
      <c r="E8" s="202" t="s">
        <v>344</v>
      </c>
      <c r="F8" s="202"/>
      <c r="G8" s="202"/>
      <c r="H8" s="28" t="s">
        <v>429</v>
      </c>
      <c r="I8" s="29" t="s">
        <v>129</v>
      </c>
      <c r="J8" s="58">
        <v>0.7</v>
      </c>
    </row>
    <row r="9" s="1" customFormat="1" ht="108" customHeight="1" spans="1:10">
      <c r="A9" s="28"/>
      <c r="B9" s="28">
        <v>2</v>
      </c>
      <c r="C9" s="202" t="s">
        <v>430</v>
      </c>
      <c r="D9" s="202"/>
      <c r="E9" s="202" t="s">
        <v>431</v>
      </c>
      <c r="F9" s="202"/>
      <c r="G9" s="202"/>
      <c r="H9" s="28" t="s">
        <v>432</v>
      </c>
      <c r="I9" s="29" t="s">
        <v>129</v>
      </c>
      <c r="J9" s="58">
        <v>0.7</v>
      </c>
    </row>
    <row r="10" s="1" customFormat="1" ht="36.75" customHeight="1" spans="1:10">
      <c r="A10" s="139" t="s">
        <v>199</v>
      </c>
      <c r="B10" s="240"/>
      <c r="C10" s="209" t="s">
        <v>433</v>
      </c>
      <c r="D10" s="210"/>
      <c r="E10" s="210"/>
      <c r="F10" s="210"/>
      <c r="G10" s="210"/>
      <c r="H10" s="210"/>
      <c r="I10" s="210"/>
      <c r="J10" s="220"/>
    </row>
    <row r="11" s="1" customFormat="1" spans="1:10">
      <c r="A11" s="229"/>
      <c r="B11" s="241"/>
      <c r="C11" s="203"/>
      <c r="D11" s="204"/>
      <c r="E11" s="204"/>
      <c r="F11" s="204"/>
      <c r="G11" s="204"/>
      <c r="H11" s="204"/>
      <c r="I11" s="204"/>
      <c r="J11" s="217"/>
    </row>
    <row r="12" s="1" customFormat="1" spans="1:10">
      <c r="A12" s="229"/>
      <c r="B12" s="241"/>
      <c r="C12" s="203" t="s">
        <v>376</v>
      </c>
      <c r="D12" s="204"/>
      <c r="E12" s="204"/>
      <c r="F12" s="204"/>
      <c r="G12" s="204"/>
      <c r="H12" s="204"/>
      <c r="I12" s="204"/>
      <c r="J12" s="217"/>
    </row>
    <row r="13" s="1" customFormat="1" spans="1:10">
      <c r="A13" s="229"/>
      <c r="B13" s="241"/>
      <c r="C13" s="203"/>
      <c r="D13" s="204"/>
      <c r="E13" s="204"/>
      <c r="F13" s="204"/>
      <c r="G13" s="204"/>
      <c r="H13" s="204"/>
      <c r="I13" s="204"/>
      <c r="J13" s="217"/>
    </row>
    <row r="14" s="1" customFormat="1" spans="1:10">
      <c r="A14" s="229"/>
      <c r="B14" s="241"/>
      <c r="C14" s="203"/>
      <c r="D14" s="204"/>
      <c r="E14" s="204"/>
      <c r="F14" s="204"/>
      <c r="G14" s="204"/>
      <c r="H14" s="204"/>
      <c r="I14" s="204"/>
      <c r="J14" s="217"/>
    </row>
    <row r="15" s="1" customFormat="1" spans="1:10">
      <c r="A15" s="229"/>
      <c r="B15" s="241"/>
      <c r="C15" s="203"/>
      <c r="D15" s="204"/>
      <c r="E15" s="204"/>
      <c r="F15" s="204"/>
      <c r="G15" s="204"/>
      <c r="H15" s="204"/>
      <c r="I15" s="204"/>
      <c r="J15" s="217"/>
    </row>
    <row r="16" s="1" customFormat="1" ht="10.5" customHeight="1" spans="1:10">
      <c r="A16" s="229"/>
      <c r="B16" s="241"/>
      <c r="C16" s="203"/>
      <c r="D16" s="204"/>
      <c r="E16" s="204"/>
      <c r="F16" s="204"/>
      <c r="G16" s="204"/>
      <c r="H16" s="204"/>
      <c r="I16" s="204"/>
      <c r="J16" s="217"/>
    </row>
    <row r="17" s="1" customFormat="1" ht="7.5" customHeight="1" spans="1:10">
      <c r="A17" s="229"/>
      <c r="B17" s="241"/>
      <c r="C17" s="203"/>
      <c r="D17" s="204"/>
      <c r="E17" s="204"/>
      <c r="F17" s="204"/>
      <c r="G17" s="204"/>
      <c r="H17" s="204"/>
      <c r="I17" s="204"/>
      <c r="J17" s="217"/>
    </row>
    <row r="18" s="1" customFormat="1" spans="1:10">
      <c r="A18" s="229"/>
      <c r="B18" s="241"/>
      <c r="C18" s="203"/>
      <c r="D18" s="204"/>
      <c r="E18" s="204"/>
      <c r="F18" s="204"/>
      <c r="G18" s="204"/>
      <c r="H18" s="204"/>
      <c r="I18" s="204"/>
      <c r="J18" s="217"/>
    </row>
    <row r="19" s="1" customFormat="1" ht="21" customHeight="1" spans="1:10">
      <c r="A19" s="229"/>
      <c r="B19" s="241"/>
      <c r="C19" s="242" t="s">
        <v>118</v>
      </c>
      <c r="D19" s="243"/>
      <c r="E19" s="243"/>
      <c r="F19" s="243"/>
      <c r="G19" s="243"/>
      <c r="H19" s="243"/>
      <c r="I19" s="243"/>
      <c r="J19" s="248"/>
    </row>
    <row r="20" s="1" customFormat="1" ht="21" customHeight="1" spans="1:10">
      <c r="A20" s="244"/>
      <c r="B20" s="245"/>
      <c r="C20" s="246" t="s">
        <v>358</v>
      </c>
      <c r="D20" s="247"/>
      <c r="E20" s="247"/>
      <c r="F20" s="247"/>
      <c r="G20" s="247"/>
      <c r="H20" s="247"/>
      <c r="I20" s="247"/>
      <c r="J20" s="249"/>
    </row>
    <row r="21" s="1" customFormat="1" ht="35.25" customHeight="1" spans="1:10">
      <c r="A21" s="139" t="s">
        <v>201</v>
      </c>
      <c r="B21" s="240"/>
      <c r="C21" s="209" t="s">
        <v>377</v>
      </c>
      <c r="D21" s="210"/>
      <c r="E21" s="210"/>
      <c r="F21" s="210"/>
      <c r="G21" s="210"/>
      <c r="H21" s="210"/>
      <c r="I21" s="210"/>
      <c r="J21" s="220"/>
    </row>
    <row r="22" s="1" customFormat="1" spans="1:10">
      <c r="A22" s="229"/>
      <c r="B22" s="241"/>
      <c r="C22" s="203"/>
      <c r="D22" s="204"/>
      <c r="E22" s="204"/>
      <c r="F22" s="204"/>
      <c r="G22" s="204"/>
      <c r="H22" s="204"/>
      <c r="I22" s="204"/>
      <c r="J22" s="217"/>
    </row>
    <row r="23" s="1" customFormat="1" spans="1:10">
      <c r="A23" s="229"/>
      <c r="B23" s="241"/>
      <c r="C23" s="203" t="s">
        <v>378</v>
      </c>
      <c r="D23" s="204"/>
      <c r="E23" s="204"/>
      <c r="F23" s="204"/>
      <c r="G23" s="204"/>
      <c r="H23" s="204"/>
      <c r="I23" s="204"/>
      <c r="J23" s="217"/>
    </row>
    <row r="24" s="1" customFormat="1" spans="1:10">
      <c r="A24" s="229"/>
      <c r="B24" s="241"/>
      <c r="C24" s="203"/>
      <c r="D24" s="204"/>
      <c r="E24" s="204"/>
      <c r="F24" s="204"/>
      <c r="G24" s="204"/>
      <c r="H24" s="204"/>
      <c r="I24" s="204"/>
      <c r="J24" s="217"/>
    </row>
    <row r="25" s="1" customFormat="1" spans="1:10">
      <c r="A25" s="229"/>
      <c r="B25" s="241"/>
      <c r="C25" s="203"/>
      <c r="D25" s="204"/>
      <c r="E25" s="204"/>
      <c r="F25" s="204"/>
      <c r="G25" s="204"/>
      <c r="H25" s="204"/>
      <c r="I25" s="204"/>
      <c r="J25" s="217"/>
    </row>
    <row r="26" s="1" customFormat="1" ht="9" customHeight="1" spans="1:10">
      <c r="A26" s="229"/>
      <c r="B26" s="241"/>
      <c r="C26" s="203"/>
      <c r="D26" s="204"/>
      <c r="E26" s="204"/>
      <c r="F26" s="204"/>
      <c r="G26" s="204"/>
      <c r="H26" s="204"/>
      <c r="I26" s="204"/>
      <c r="J26" s="217"/>
    </row>
    <row r="27" s="1" customFormat="1" ht="5.25" customHeight="1" spans="1:10">
      <c r="A27" s="229"/>
      <c r="B27" s="241"/>
      <c r="C27" s="203"/>
      <c r="D27" s="204"/>
      <c r="E27" s="204"/>
      <c r="F27" s="204"/>
      <c r="G27" s="204"/>
      <c r="H27" s="204"/>
      <c r="I27" s="204"/>
      <c r="J27" s="217"/>
    </row>
    <row r="28" s="1" customFormat="1" ht="6.75" customHeight="1" spans="1:10">
      <c r="A28" s="229"/>
      <c r="B28" s="241"/>
      <c r="C28" s="203"/>
      <c r="D28" s="204"/>
      <c r="E28" s="204"/>
      <c r="F28" s="204"/>
      <c r="G28" s="204"/>
      <c r="H28" s="204"/>
      <c r="I28" s="204"/>
      <c r="J28" s="217"/>
    </row>
    <row r="29" s="1" customFormat="1" spans="1:10">
      <c r="A29" s="229"/>
      <c r="B29" s="241"/>
      <c r="C29" s="203"/>
      <c r="D29" s="204"/>
      <c r="E29" s="204"/>
      <c r="F29" s="204"/>
      <c r="G29" s="204"/>
      <c r="H29" s="204"/>
      <c r="I29" s="204"/>
      <c r="J29" s="217"/>
    </row>
    <row r="30" s="1" customFormat="1" ht="20.25" customHeight="1" spans="1:10">
      <c r="A30" s="229"/>
      <c r="B30" s="241"/>
      <c r="C30" s="242" t="s">
        <v>118</v>
      </c>
      <c r="D30" s="243"/>
      <c r="E30" s="243"/>
      <c r="F30" s="243"/>
      <c r="G30" s="243"/>
      <c r="H30" s="243"/>
      <c r="I30" s="243"/>
      <c r="J30" s="248"/>
    </row>
    <row r="31" s="1" customFormat="1" ht="20.25" customHeight="1" spans="1:10">
      <c r="A31" s="244"/>
      <c r="B31" s="245"/>
      <c r="C31" s="246" t="s">
        <v>358</v>
      </c>
      <c r="D31" s="247"/>
      <c r="E31" s="247"/>
      <c r="F31" s="247"/>
      <c r="G31" s="247"/>
      <c r="H31" s="247"/>
      <c r="I31" s="247"/>
      <c r="J31" s="249"/>
    </row>
    <row r="32" spans="1:10">
      <c r="A32" s="49"/>
      <c r="B32" s="49"/>
      <c r="C32" s="49"/>
      <c r="D32" s="49"/>
      <c r="E32" s="49"/>
      <c r="F32" s="49"/>
      <c r="G32" s="49"/>
      <c r="H32" s="49"/>
      <c r="I32" s="49"/>
      <c r="J32" s="49"/>
    </row>
  </sheetData>
  <mergeCells count="45">
    <mergeCell ref="A1:J1"/>
    <mergeCell ref="A2:J2"/>
    <mergeCell ref="A3:C3"/>
    <mergeCell ref="D3:E3"/>
    <mergeCell ref="G3:J3"/>
    <mergeCell ref="A4:C4"/>
    <mergeCell ref="D4:E4"/>
    <mergeCell ref="G4:J4"/>
    <mergeCell ref="A5:C5"/>
    <mergeCell ref="D5:E5"/>
    <mergeCell ref="G5:J5"/>
    <mergeCell ref="A6:B6"/>
    <mergeCell ref="C6:D6"/>
    <mergeCell ref="E6:G6"/>
    <mergeCell ref="C7:D7"/>
    <mergeCell ref="E7:G7"/>
    <mergeCell ref="C8:D8"/>
    <mergeCell ref="E8:G8"/>
    <mergeCell ref="C9:D9"/>
    <mergeCell ref="E9:G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A8:A9"/>
    <mergeCell ref="A10:B20"/>
    <mergeCell ref="A21:B31"/>
  </mergeCells>
  <pageMargins left="0.75" right="0.75" top="1" bottom="1" header="0.5" footer="0.5"/>
  <pageSetup paperSize="9" scale="94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workbookViewId="0">
      <selection activeCell="A2" sqref="A2:G2"/>
    </sheetView>
  </sheetViews>
  <sheetFormatPr defaultColWidth="9.14285714285714" defaultRowHeight="13.5" outlineLevelCol="6"/>
  <cols>
    <col min="1" max="1" width="5.4" style="1" customWidth="1"/>
    <col min="2" max="2" width="2.28571428571429" style="1" customWidth="1"/>
    <col min="3" max="3" width="13.8190476190476" style="1" customWidth="1"/>
    <col min="4" max="4" width="21.7142857142857" style="1" customWidth="1"/>
    <col min="5" max="5" width="13.7142857142857" style="1" customWidth="1"/>
    <col min="6" max="6" width="13.0857142857143" style="1" customWidth="1"/>
    <col min="7" max="7" width="37.0857142857143" style="1" customWidth="1"/>
  </cols>
  <sheetData>
    <row r="1" s="1" customFormat="1" ht="22.5" customHeight="1" spans="1:7">
      <c r="A1" s="2" t="s">
        <v>125</v>
      </c>
      <c r="B1" s="3"/>
      <c r="C1" s="3"/>
      <c r="D1" s="3"/>
      <c r="E1" s="3"/>
      <c r="F1" s="3"/>
      <c r="G1" s="3"/>
    </row>
    <row r="2" s="1" customFormat="1" ht="22.5" customHeight="1" spans="1:7">
      <c r="A2" s="64" t="s">
        <v>434</v>
      </c>
      <c r="B2" s="64"/>
      <c r="C2" s="64"/>
      <c r="D2" s="64"/>
      <c r="E2" s="64"/>
      <c r="F2" s="64"/>
      <c r="G2" s="64"/>
    </row>
    <row r="3" s="1" customFormat="1" ht="37.5" customHeight="1" spans="1:7">
      <c r="A3" s="28" t="s">
        <v>95</v>
      </c>
      <c r="B3" s="28"/>
      <c r="C3" s="28"/>
      <c r="D3" s="6" t="s">
        <v>348</v>
      </c>
      <c r="E3" s="6"/>
      <c r="F3" s="28" t="s">
        <v>96</v>
      </c>
      <c r="G3" s="69" t="s">
        <v>435</v>
      </c>
    </row>
    <row r="4" s="1" customFormat="1" ht="37.5" customHeight="1" spans="1:7">
      <c r="A4" s="28" t="s">
        <v>97</v>
      </c>
      <c r="B4" s="28"/>
      <c r="C4" s="28"/>
      <c r="D4" s="8" t="s">
        <v>436</v>
      </c>
      <c r="E4" s="6"/>
      <c r="F4" s="28" t="s">
        <v>98</v>
      </c>
      <c r="G4" s="211" t="s">
        <v>99</v>
      </c>
    </row>
    <row r="5" s="1" customFormat="1" ht="37.5" customHeight="1" spans="1:7">
      <c r="A5" s="28" t="s">
        <v>100</v>
      </c>
      <c r="B5" s="28"/>
      <c r="C5" s="28"/>
      <c r="D5" s="6" t="s">
        <v>437</v>
      </c>
      <c r="E5" s="6"/>
      <c r="F5" s="28" t="s">
        <v>102</v>
      </c>
      <c r="G5" s="28" t="s">
        <v>438</v>
      </c>
    </row>
    <row r="6" s="1" customFormat="1" ht="24.75" customHeight="1" spans="1:7">
      <c r="A6" s="28" t="s">
        <v>50</v>
      </c>
      <c r="B6" s="28" t="s">
        <v>128</v>
      </c>
      <c r="C6" s="28"/>
      <c r="D6" s="28"/>
      <c r="E6" s="28" t="s">
        <v>107</v>
      </c>
      <c r="F6" s="28"/>
      <c r="G6" s="28"/>
    </row>
    <row r="7" s="1" customFormat="1" ht="24.75" customHeight="1" spans="1:7">
      <c r="A7" s="221">
        <v>1</v>
      </c>
      <c r="B7" s="222" t="s">
        <v>439</v>
      </c>
      <c r="C7" s="223"/>
      <c r="D7" s="224"/>
      <c r="E7" s="225" t="s">
        <v>83</v>
      </c>
      <c r="F7" s="226"/>
      <c r="G7" s="227"/>
    </row>
    <row r="8" s="1" customFormat="1" ht="24.75" customHeight="1" spans="1:7">
      <c r="A8" s="228"/>
      <c r="B8" s="202" t="s">
        <v>440</v>
      </c>
      <c r="C8" s="202"/>
      <c r="D8" s="202"/>
      <c r="E8" s="225" t="s">
        <v>83</v>
      </c>
      <c r="F8" s="226"/>
      <c r="G8" s="227"/>
    </row>
    <row r="9" s="1" customFormat="1" ht="24.75" customHeight="1" spans="1:7">
      <c r="A9" s="28">
        <v>2</v>
      </c>
      <c r="B9" s="202" t="s">
        <v>441</v>
      </c>
      <c r="C9" s="202"/>
      <c r="D9" s="202"/>
      <c r="E9" s="225" t="s">
        <v>83</v>
      </c>
      <c r="F9" s="226"/>
      <c r="G9" s="227"/>
    </row>
    <row r="10" s="1" customFormat="1" ht="24.75" customHeight="1" spans="1:7">
      <c r="A10" s="28">
        <v>3</v>
      </c>
      <c r="B10" s="202" t="s">
        <v>442</v>
      </c>
      <c r="C10" s="202"/>
      <c r="D10" s="202"/>
      <c r="E10" s="225" t="s">
        <v>83</v>
      </c>
      <c r="F10" s="226"/>
      <c r="G10" s="227"/>
    </row>
    <row r="11" s="1" customFormat="1" ht="24.75" customHeight="1" spans="1:7">
      <c r="A11" s="28">
        <v>4</v>
      </c>
      <c r="B11" s="202" t="s">
        <v>443</v>
      </c>
      <c r="C11" s="202"/>
      <c r="D11" s="202"/>
      <c r="E11" s="225" t="s">
        <v>83</v>
      </c>
      <c r="F11" s="226"/>
      <c r="G11" s="227"/>
    </row>
    <row r="12" s="1" customFormat="1" ht="24.75" customHeight="1" spans="1:7">
      <c r="A12" s="28">
        <v>5</v>
      </c>
      <c r="B12" s="202" t="s">
        <v>444</v>
      </c>
      <c r="C12" s="202"/>
      <c r="D12" s="202"/>
      <c r="E12" s="225" t="s">
        <v>83</v>
      </c>
      <c r="F12" s="226"/>
      <c r="G12" s="227"/>
    </row>
    <row r="13" s="1" customFormat="1" ht="24.75" customHeight="1" spans="1:7">
      <c r="A13" s="28">
        <v>6</v>
      </c>
      <c r="B13" s="202" t="s">
        <v>445</v>
      </c>
      <c r="C13" s="202"/>
      <c r="D13" s="202"/>
      <c r="E13" s="225" t="s">
        <v>83</v>
      </c>
      <c r="F13" s="226"/>
      <c r="G13" s="227"/>
    </row>
    <row r="14" s="1" customFormat="1" ht="30" customHeight="1" spans="1:7">
      <c r="A14" s="28" t="s">
        <v>199</v>
      </c>
      <c r="B14" s="28"/>
      <c r="C14" s="209" t="s">
        <v>446</v>
      </c>
      <c r="D14" s="210"/>
      <c r="E14" s="210"/>
      <c r="F14" s="210"/>
      <c r="G14" s="220"/>
    </row>
    <row r="15" s="1" customFormat="1" ht="21.75" customHeight="1" spans="1:7">
      <c r="A15" s="28"/>
      <c r="B15" s="28"/>
      <c r="C15" s="203" t="s">
        <v>447</v>
      </c>
      <c r="D15" s="204"/>
      <c r="E15" s="204"/>
      <c r="F15" s="204"/>
      <c r="G15" s="217"/>
    </row>
    <row r="16" s="1" customFormat="1" ht="21.75" customHeight="1" spans="1:7">
      <c r="A16" s="28"/>
      <c r="B16" s="28"/>
      <c r="C16" s="229" t="s">
        <v>360</v>
      </c>
      <c r="D16" s="230"/>
      <c r="E16" s="231" t="s">
        <v>83</v>
      </c>
      <c r="F16" s="231"/>
      <c r="G16" s="232"/>
    </row>
    <row r="17" s="1" customFormat="1" spans="1:7">
      <c r="A17" s="28"/>
      <c r="B17" s="28"/>
      <c r="C17" s="203"/>
      <c r="D17" s="204"/>
      <c r="E17" s="204"/>
      <c r="F17" s="204"/>
      <c r="G17" s="217"/>
    </row>
    <row r="18" s="1" customFormat="1" ht="2.25" customHeight="1" spans="1:7">
      <c r="A18" s="28"/>
      <c r="B18" s="28"/>
      <c r="C18" s="203"/>
      <c r="D18" s="204"/>
      <c r="E18" s="204"/>
      <c r="F18" s="204"/>
      <c r="G18" s="217"/>
    </row>
    <row r="19" s="1" customFormat="1" ht="9" customHeight="1" spans="1:7">
      <c r="A19" s="28"/>
      <c r="B19" s="28"/>
      <c r="C19" s="203"/>
      <c r="D19" s="204"/>
      <c r="E19" s="204"/>
      <c r="F19" s="204"/>
      <c r="G19" s="217"/>
    </row>
    <row r="20" s="1" customFormat="1" hidden="1" spans="1:7">
      <c r="A20" s="28"/>
      <c r="B20" s="28"/>
      <c r="C20" s="203"/>
      <c r="D20" s="204"/>
      <c r="E20" s="204"/>
      <c r="F20" s="204"/>
      <c r="G20" s="217"/>
    </row>
    <row r="21" s="1" customFormat="1" spans="1:7">
      <c r="A21" s="28"/>
      <c r="B21" s="28"/>
      <c r="C21" s="203"/>
      <c r="D21" s="204"/>
      <c r="E21" s="204"/>
      <c r="F21" s="204"/>
      <c r="G21" s="217"/>
    </row>
    <row r="22" s="1" customFormat="1" ht="22.5" customHeight="1" spans="1:7">
      <c r="A22" s="28"/>
      <c r="B22" s="28"/>
      <c r="C22" s="205" t="s">
        <v>118</v>
      </c>
      <c r="D22" s="206"/>
      <c r="E22" s="206"/>
      <c r="F22" s="206"/>
      <c r="G22" s="218"/>
    </row>
    <row r="23" s="1" customFormat="1" ht="22.5" customHeight="1" spans="1:7">
      <c r="A23" s="28"/>
      <c r="B23" s="28"/>
      <c r="C23" s="207" t="s">
        <v>448</v>
      </c>
      <c r="D23" s="208"/>
      <c r="E23" s="208"/>
      <c r="F23" s="208"/>
      <c r="G23" s="219"/>
    </row>
    <row r="24" s="1" customFormat="1" ht="33" customHeight="1" spans="1:7">
      <c r="A24" s="28" t="s">
        <v>201</v>
      </c>
      <c r="B24" s="148"/>
      <c r="C24" s="209" t="s">
        <v>449</v>
      </c>
      <c r="D24" s="210"/>
      <c r="E24" s="210"/>
      <c r="F24" s="210"/>
      <c r="G24" s="220"/>
    </row>
    <row r="25" s="1" customFormat="1" ht="23.25" customHeight="1" spans="1:7">
      <c r="A25" s="28"/>
      <c r="B25" s="148"/>
      <c r="C25" s="203" t="s">
        <v>450</v>
      </c>
      <c r="D25" s="204"/>
      <c r="E25" s="204"/>
      <c r="F25" s="204"/>
      <c r="G25" s="217"/>
    </row>
    <row r="26" s="1" customFormat="1" ht="31.5" customHeight="1" spans="1:7">
      <c r="A26" s="28"/>
      <c r="B26" s="148"/>
      <c r="C26" s="203" t="s">
        <v>360</v>
      </c>
      <c r="D26" s="204"/>
      <c r="E26" s="204"/>
      <c r="F26" s="204"/>
      <c r="G26" s="217"/>
    </row>
    <row r="27" s="1" customFormat="1" spans="1:7">
      <c r="A27" s="28"/>
      <c r="B27" s="148"/>
      <c r="C27" s="203"/>
      <c r="D27" s="204"/>
      <c r="E27" s="204"/>
      <c r="F27" s="204"/>
      <c r="G27" s="217"/>
    </row>
    <row r="28" s="1" customFormat="1" spans="1:7">
      <c r="A28" s="28"/>
      <c r="B28" s="148"/>
      <c r="C28" s="203"/>
      <c r="D28" s="204"/>
      <c r="E28" s="204"/>
      <c r="F28" s="204"/>
      <c r="G28" s="217"/>
    </row>
    <row r="29" s="1" customFormat="1" ht="4.5" customHeight="1" spans="1:7">
      <c r="A29" s="28"/>
      <c r="B29" s="148"/>
      <c r="C29" s="203"/>
      <c r="D29" s="204"/>
      <c r="E29" s="204"/>
      <c r="F29" s="204"/>
      <c r="G29" s="217"/>
    </row>
    <row r="30" s="1" customFormat="1" spans="1:7">
      <c r="A30" s="28"/>
      <c r="B30" s="148"/>
      <c r="C30" s="203"/>
      <c r="D30" s="204"/>
      <c r="E30" s="204"/>
      <c r="F30" s="204"/>
      <c r="G30" s="217"/>
    </row>
    <row r="31" s="1" customFormat="1" ht="7.5" customHeight="1" spans="1:7">
      <c r="A31" s="28"/>
      <c r="B31" s="148"/>
      <c r="C31" s="203"/>
      <c r="D31" s="204"/>
      <c r="E31" s="204"/>
      <c r="F31" s="204"/>
      <c r="G31" s="217"/>
    </row>
    <row r="32" s="1" customFormat="1" ht="21.75" customHeight="1" spans="1:7">
      <c r="A32" s="28"/>
      <c r="B32" s="148"/>
      <c r="C32" s="205" t="s">
        <v>118</v>
      </c>
      <c r="D32" s="206"/>
      <c r="E32" s="206"/>
      <c r="F32" s="206"/>
      <c r="G32" s="218"/>
    </row>
    <row r="33" s="1" customFormat="1" ht="21.75" customHeight="1" spans="1:7">
      <c r="A33" s="221"/>
      <c r="B33" s="139"/>
      <c r="C33" s="207" t="s">
        <v>448</v>
      </c>
      <c r="D33" s="208"/>
      <c r="E33" s="208"/>
      <c r="F33" s="208"/>
      <c r="G33" s="219"/>
    </row>
    <row r="34" s="1" customFormat="1" ht="35.25" customHeight="1" spans="1:7">
      <c r="A34" s="233" t="s">
        <v>361</v>
      </c>
      <c r="B34" s="234"/>
      <c r="C34" s="235"/>
      <c r="D34" s="235"/>
      <c r="E34" s="235"/>
      <c r="F34" s="235"/>
      <c r="G34" s="236"/>
    </row>
  </sheetData>
  <mergeCells count="49">
    <mergeCell ref="A1:G1"/>
    <mergeCell ref="A2:G2"/>
    <mergeCell ref="A3:C3"/>
    <mergeCell ref="D3:E3"/>
    <mergeCell ref="A4:C4"/>
    <mergeCell ref="D4:E4"/>
    <mergeCell ref="A5:C5"/>
    <mergeCell ref="D5:E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C14:G14"/>
    <mergeCell ref="C15:G15"/>
    <mergeCell ref="C16:D16"/>
    <mergeCell ref="E16:F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A34:G34"/>
    <mergeCell ref="A7:A8"/>
    <mergeCell ref="A14:B23"/>
    <mergeCell ref="A24:B33"/>
  </mergeCells>
  <pageMargins left="0.75" right="0.75" top="1" bottom="1" header="0.5" footer="0.5"/>
  <pageSetup paperSize="9" scale="8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5"/>
  <sheetViews>
    <sheetView workbookViewId="0">
      <selection activeCell="C13" sqref="C13:L13"/>
    </sheetView>
  </sheetViews>
  <sheetFormatPr defaultColWidth="10.2857142857143" defaultRowHeight="13.5"/>
  <cols>
    <col min="1" max="1" width="3.11428571428571" style="1" customWidth="1"/>
    <col min="2" max="2" width="3.84761904761905" style="1" customWidth="1"/>
    <col min="3" max="3" width="3.73333333333333" style="1" customWidth="1"/>
    <col min="4" max="4" width="9.44761904761905" style="1" customWidth="1"/>
    <col min="5" max="5" width="3.84761904761905" style="1" customWidth="1"/>
    <col min="6" max="6" width="11.847619047619" style="1" customWidth="1"/>
    <col min="7" max="7" width="23.5809523809524" style="1" customWidth="1"/>
    <col min="8" max="8" width="3.11428571428571" style="1" customWidth="1"/>
    <col min="9" max="9" width="7.37142857142857" style="1" customWidth="1"/>
    <col min="10" max="10" width="16.4190476190476" style="1" customWidth="1"/>
    <col min="11" max="12" width="9.86666666666667" style="1" customWidth="1"/>
    <col min="13" max="16384" width="10.2857142857143" style="1"/>
  </cols>
  <sheetData>
    <row r="1" s="1" customFormat="1" ht="23.25" customHeight="1" spans="1:12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23.25" customHeight="1" spans="1:12">
      <c r="A2" s="4" t="s">
        <v>451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38.25" customHeight="1" spans="1:12">
      <c r="A3" s="28" t="s">
        <v>95</v>
      </c>
      <c r="B3" s="28"/>
      <c r="C3" s="28"/>
      <c r="D3" s="28"/>
      <c r="E3" s="161" t="str">
        <f>[1]普通混凝土单元!D3</f>
        <v>进水闸工程</v>
      </c>
      <c r="F3" s="161"/>
      <c r="G3" s="161"/>
      <c r="H3" s="28" t="s">
        <v>128</v>
      </c>
      <c r="I3" s="28"/>
      <c r="J3" s="28"/>
      <c r="K3" s="28"/>
      <c r="L3" s="28"/>
    </row>
    <row r="4" s="1" customFormat="1" ht="38.25" customHeight="1" spans="1:12">
      <c r="A4" s="28" t="s">
        <v>97</v>
      </c>
      <c r="B4" s="28"/>
      <c r="C4" s="28"/>
      <c r="D4" s="28"/>
      <c r="E4" s="69" t="str">
        <f>[1]普通混凝土单元!D4</f>
        <v>闸室段</v>
      </c>
      <c r="F4" s="161"/>
      <c r="G4" s="161"/>
      <c r="H4" s="28" t="s">
        <v>98</v>
      </c>
      <c r="I4" s="28"/>
      <c r="J4" s="211" t="s">
        <v>99</v>
      </c>
      <c r="K4" s="211"/>
      <c r="L4" s="211"/>
    </row>
    <row r="5" s="1" customFormat="1" ht="38.25" customHeight="1" spans="1:12">
      <c r="A5" s="28" t="s">
        <v>100</v>
      </c>
      <c r="B5" s="28"/>
      <c r="C5" s="28"/>
      <c r="D5" s="28"/>
      <c r="E5" s="161" t="str">
        <f>[1]普通混凝土单元!D5</f>
        <v>2#闸墩，▽152.500～154.500m</v>
      </c>
      <c r="F5" s="161"/>
      <c r="G5" s="161"/>
      <c r="H5" s="28" t="s">
        <v>102</v>
      </c>
      <c r="I5" s="28"/>
      <c r="J5" s="148" t="s">
        <v>438</v>
      </c>
      <c r="K5" s="212"/>
      <c r="L5" s="35"/>
    </row>
    <row r="6" s="1" customFormat="1" ht="22.5" customHeight="1" spans="1:12">
      <c r="A6" s="28" t="s">
        <v>50</v>
      </c>
      <c r="B6" s="28"/>
      <c r="C6" s="28" t="s">
        <v>133</v>
      </c>
      <c r="D6" s="28"/>
      <c r="E6" s="28"/>
      <c r="F6" s="28"/>
      <c r="G6" s="28" t="s">
        <v>134</v>
      </c>
      <c r="H6" s="28"/>
      <c r="I6" s="28" t="s">
        <v>135</v>
      </c>
      <c r="J6" s="28"/>
      <c r="K6" s="28" t="s">
        <v>136</v>
      </c>
      <c r="L6" s="28" t="s">
        <v>137</v>
      </c>
    </row>
    <row r="7" s="1" customFormat="1" ht="60" customHeight="1" spans="1:12">
      <c r="A7" s="28" t="s">
        <v>439</v>
      </c>
      <c r="B7" s="28" t="s">
        <v>138</v>
      </c>
      <c r="C7" s="28">
        <v>1</v>
      </c>
      <c r="D7" s="197" t="s">
        <v>439</v>
      </c>
      <c r="E7" s="198"/>
      <c r="F7" s="28" t="s">
        <v>452</v>
      </c>
      <c r="G7" s="199" t="s">
        <v>344</v>
      </c>
      <c r="H7" s="199"/>
      <c r="I7" s="213" t="s">
        <v>453</v>
      </c>
      <c r="J7" s="214"/>
      <c r="K7" s="214" t="s">
        <v>129</v>
      </c>
      <c r="L7" s="215">
        <v>1</v>
      </c>
    </row>
    <row r="8" s="1" customFormat="1" ht="60" customHeight="1" spans="1:12">
      <c r="A8" s="28"/>
      <c r="B8" s="28"/>
      <c r="C8" s="28"/>
      <c r="D8" s="200"/>
      <c r="E8" s="201"/>
      <c r="F8" s="28" t="s">
        <v>454</v>
      </c>
      <c r="G8" s="199" t="s">
        <v>455</v>
      </c>
      <c r="H8" s="199"/>
      <c r="I8" s="214" t="s">
        <v>129</v>
      </c>
      <c r="J8" s="214"/>
      <c r="K8" s="214" t="s">
        <v>129</v>
      </c>
      <c r="L8" s="216" t="s">
        <v>129</v>
      </c>
    </row>
    <row r="9" s="1" customFormat="1" ht="60" customHeight="1" spans="1:12">
      <c r="A9" s="28"/>
      <c r="B9" s="28"/>
      <c r="C9" s="28">
        <v>2</v>
      </c>
      <c r="D9" s="202" t="s">
        <v>456</v>
      </c>
      <c r="E9" s="202"/>
      <c r="F9" s="202"/>
      <c r="G9" s="199" t="s">
        <v>457</v>
      </c>
      <c r="H9" s="199"/>
      <c r="I9" s="213" t="s">
        <v>458</v>
      </c>
      <c r="J9" s="214"/>
      <c r="K9" s="214" t="s">
        <v>129</v>
      </c>
      <c r="L9" s="215">
        <v>1</v>
      </c>
    </row>
    <row r="10" s="1" customFormat="1" ht="60" customHeight="1" spans="1:12">
      <c r="A10" s="28"/>
      <c r="B10" s="28" t="s">
        <v>148</v>
      </c>
      <c r="C10" s="28">
        <v>1</v>
      </c>
      <c r="D10" s="202" t="s">
        <v>459</v>
      </c>
      <c r="E10" s="202"/>
      <c r="F10" s="202"/>
      <c r="G10" s="199" t="s">
        <v>460</v>
      </c>
      <c r="H10" s="199"/>
      <c r="I10" s="213" t="s">
        <v>461</v>
      </c>
      <c r="J10" s="214"/>
      <c r="K10" s="214" t="s">
        <v>129</v>
      </c>
      <c r="L10" s="215">
        <v>0.7</v>
      </c>
    </row>
    <row r="11" s="1" customFormat="1" ht="33.75" customHeight="1" spans="1:12">
      <c r="A11" s="28" t="s">
        <v>199</v>
      </c>
      <c r="B11" s="28"/>
      <c r="C11" s="203" t="s">
        <v>462</v>
      </c>
      <c r="D11" s="204"/>
      <c r="E11" s="204"/>
      <c r="F11" s="204"/>
      <c r="G11" s="204"/>
      <c r="H11" s="204"/>
      <c r="I11" s="204"/>
      <c r="J11" s="204"/>
      <c r="K11" s="204"/>
      <c r="L11" s="217"/>
    </row>
    <row r="12" s="1" customFormat="1" spans="1:12">
      <c r="A12" s="28"/>
      <c r="B12" s="28"/>
      <c r="C12" s="203" t="s">
        <v>463</v>
      </c>
      <c r="D12" s="204"/>
      <c r="E12" s="204"/>
      <c r="F12" s="204"/>
      <c r="G12" s="204"/>
      <c r="H12" s="204"/>
      <c r="I12" s="204"/>
      <c r="J12" s="204"/>
      <c r="K12" s="204"/>
      <c r="L12" s="217"/>
    </row>
    <row r="13" s="1" customFormat="1" ht="26.25" customHeight="1" spans="1:12">
      <c r="A13" s="28"/>
      <c r="B13" s="28"/>
      <c r="C13" s="203" t="s">
        <v>378</v>
      </c>
      <c r="D13" s="204"/>
      <c r="E13" s="204"/>
      <c r="F13" s="204"/>
      <c r="G13" s="204"/>
      <c r="H13" s="204"/>
      <c r="I13" s="204"/>
      <c r="J13" s="204"/>
      <c r="K13" s="204"/>
      <c r="L13" s="217"/>
    </row>
    <row r="14" s="1" customFormat="1" spans="1:12">
      <c r="A14" s="28"/>
      <c r="B14" s="28"/>
      <c r="C14" s="203"/>
      <c r="D14" s="204"/>
      <c r="E14" s="204"/>
      <c r="F14" s="204"/>
      <c r="G14" s="204"/>
      <c r="H14" s="204"/>
      <c r="I14" s="204"/>
      <c r="J14" s="204"/>
      <c r="K14" s="204"/>
      <c r="L14" s="217"/>
    </row>
    <row r="15" s="1" customFormat="1" ht="29.25" customHeight="1" spans="1:12">
      <c r="A15" s="28"/>
      <c r="B15" s="28"/>
      <c r="C15" s="203"/>
      <c r="D15" s="204"/>
      <c r="E15" s="204"/>
      <c r="F15" s="204"/>
      <c r="G15" s="204"/>
      <c r="H15" s="204"/>
      <c r="I15" s="204"/>
      <c r="J15" s="204"/>
      <c r="K15" s="204"/>
      <c r="L15" s="217"/>
    </row>
    <row r="16" s="1" customFormat="1" ht="18.75" customHeight="1" spans="1:12">
      <c r="A16" s="28"/>
      <c r="B16" s="28"/>
      <c r="C16" s="205" t="s">
        <v>118</v>
      </c>
      <c r="D16" s="206"/>
      <c r="E16" s="206"/>
      <c r="F16" s="206"/>
      <c r="G16" s="206"/>
      <c r="H16" s="206"/>
      <c r="I16" s="206"/>
      <c r="J16" s="206"/>
      <c r="K16" s="206"/>
      <c r="L16" s="218"/>
    </row>
    <row r="17" s="1" customFormat="1" ht="18.75" customHeight="1" spans="1:12">
      <c r="A17" s="28"/>
      <c r="B17" s="28"/>
      <c r="C17" s="207" t="s">
        <v>448</v>
      </c>
      <c r="D17" s="208"/>
      <c r="E17" s="208"/>
      <c r="F17" s="208"/>
      <c r="G17" s="208"/>
      <c r="H17" s="208"/>
      <c r="I17" s="208"/>
      <c r="J17" s="208"/>
      <c r="K17" s="208"/>
      <c r="L17" s="219"/>
    </row>
    <row r="18" s="1" customFormat="1" ht="36" customHeight="1" spans="1:12">
      <c r="A18" s="28" t="s">
        <v>201</v>
      </c>
      <c r="B18" s="28"/>
      <c r="C18" s="209" t="s">
        <v>464</v>
      </c>
      <c r="D18" s="210"/>
      <c r="E18" s="210"/>
      <c r="F18" s="210"/>
      <c r="G18" s="210"/>
      <c r="H18" s="210"/>
      <c r="I18" s="210"/>
      <c r="J18" s="210"/>
      <c r="K18" s="210"/>
      <c r="L18" s="220"/>
    </row>
    <row r="19" s="1" customFormat="1" ht="18" customHeight="1" spans="1:12">
      <c r="A19" s="28"/>
      <c r="B19" s="28"/>
      <c r="C19" s="203" t="s">
        <v>465</v>
      </c>
      <c r="D19" s="204"/>
      <c r="E19" s="204"/>
      <c r="F19" s="204"/>
      <c r="G19" s="204"/>
      <c r="H19" s="204"/>
      <c r="I19" s="204"/>
      <c r="J19" s="204"/>
      <c r="K19" s="204"/>
      <c r="L19" s="217"/>
    </row>
    <row r="20" s="1" customFormat="1" ht="23.25" customHeight="1" spans="1:12">
      <c r="A20" s="28"/>
      <c r="B20" s="28"/>
      <c r="C20" s="203" t="s">
        <v>378</v>
      </c>
      <c r="D20" s="204"/>
      <c r="E20" s="204"/>
      <c r="F20" s="204"/>
      <c r="G20" s="204"/>
      <c r="H20" s="204"/>
      <c r="I20" s="204"/>
      <c r="J20" s="204"/>
      <c r="K20" s="204"/>
      <c r="L20" s="217"/>
    </row>
    <row r="21" s="1" customFormat="1" ht="32.25" customHeight="1" spans="1:12">
      <c r="A21" s="28"/>
      <c r="B21" s="28"/>
      <c r="C21" s="203"/>
      <c r="D21" s="204"/>
      <c r="E21" s="204"/>
      <c r="F21" s="204"/>
      <c r="G21" s="204"/>
      <c r="H21" s="204"/>
      <c r="I21" s="204"/>
      <c r="J21" s="204"/>
      <c r="K21" s="204"/>
      <c r="L21" s="217"/>
    </row>
    <row r="22" s="1" customFormat="1" ht="9" customHeight="1" spans="1:12">
      <c r="A22" s="28"/>
      <c r="B22" s="28"/>
      <c r="C22" s="203"/>
      <c r="D22" s="204"/>
      <c r="E22" s="204"/>
      <c r="F22" s="204"/>
      <c r="G22" s="204"/>
      <c r="H22" s="204"/>
      <c r="I22" s="204"/>
      <c r="J22" s="204"/>
      <c r="K22" s="204"/>
      <c r="L22" s="217"/>
    </row>
    <row r="23" s="1" customFormat="1" ht="19.5" customHeight="1" spans="1:12">
      <c r="A23" s="28"/>
      <c r="B23" s="28"/>
      <c r="C23" s="205" t="s">
        <v>118</v>
      </c>
      <c r="D23" s="206"/>
      <c r="E23" s="206"/>
      <c r="F23" s="206"/>
      <c r="G23" s="206"/>
      <c r="H23" s="206"/>
      <c r="I23" s="206"/>
      <c r="J23" s="206"/>
      <c r="K23" s="206"/>
      <c r="L23" s="218"/>
    </row>
    <row r="24" s="1" customFormat="1" ht="19.5" customHeight="1" spans="1:12">
      <c r="A24" s="28"/>
      <c r="B24" s="28"/>
      <c r="C24" s="207" t="s">
        <v>448</v>
      </c>
      <c r="D24" s="208"/>
      <c r="E24" s="208"/>
      <c r="F24" s="208"/>
      <c r="G24" s="208"/>
      <c r="H24" s="208"/>
      <c r="I24" s="208"/>
      <c r="J24" s="208"/>
      <c r="K24" s="208"/>
      <c r="L24" s="219"/>
    </row>
    <row r="25" s="1" customFormat="1" spans="1:1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</row>
  </sheetData>
  <mergeCells count="48">
    <mergeCell ref="A1:L1"/>
    <mergeCell ref="A2:L2"/>
    <mergeCell ref="A3:D3"/>
    <mergeCell ref="E3:G3"/>
    <mergeCell ref="H3:I3"/>
    <mergeCell ref="J3:L3"/>
    <mergeCell ref="A4:D4"/>
    <mergeCell ref="E4:G4"/>
    <mergeCell ref="H4:I4"/>
    <mergeCell ref="J4:L4"/>
    <mergeCell ref="A5:D5"/>
    <mergeCell ref="E5:G5"/>
    <mergeCell ref="H5:I5"/>
    <mergeCell ref="J5:L5"/>
    <mergeCell ref="A6:B6"/>
    <mergeCell ref="C6:F6"/>
    <mergeCell ref="G6:H6"/>
    <mergeCell ref="I6:J6"/>
    <mergeCell ref="G7:H7"/>
    <mergeCell ref="I7:J7"/>
    <mergeCell ref="G8:H8"/>
    <mergeCell ref="I8:J8"/>
    <mergeCell ref="D9:F9"/>
    <mergeCell ref="G9:H9"/>
    <mergeCell ref="I9:J9"/>
    <mergeCell ref="D10:F10"/>
    <mergeCell ref="G10:H10"/>
    <mergeCell ref="I10:J10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A7:A10"/>
    <mergeCell ref="B7:B9"/>
    <mergeCell ref="C7:C8"/>
    <mergeCell ref="D7:E8"/>
    <mergeCell ref="A11:B17"/>
    <mergeCell ref="A18:B24"/>
  </mergeCells>
  <pageMargins left="0.75" right="0.75" top="1" bottom="1" header="0.5" footer="0.5"/>
  <pageSetup paperSize="9" scale="9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topLeftCell="A5" workbookViewId="0">
      <selection activeCell="L18" sqref="L18"/>
    </sheetView>
  </sheetViews>
  <sheetFormatPr defaultColWidth="10.2857142857143" defaultRowHeight="13.5"/>
  <cols>
    <col min="1" max="1" width="6.54285714285714" style="1" customWidth="1"/>
    <col min="2" max="2" width="3.84761904761905" style="1" customWidth="1"/>
    <col min="3" max="3" width="3.32380952380952" style="1" customWidth="1"/>
    <col min="4" max="4" width="7.16190476190476" style="1" customWidth="1"/>
    <col min="5" max="5" width="8.82857142857143" style="1" customWidth="1"/>
    <col min="6" max="6" width="18.7047619047619" style="1" customWidth="1"/>
    <col min="7" max="16384" width="10.2857142857143" style="1"/>
  </cols>
  <sheetData>
    <row r="1" s="1" customFormat="1" ht="26.25" customHeight="1" spans="1:11">
      <c r="A1" s="157" t="s">
        <v>466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="1" customFormat="1" ht="15.75" customHeight="1" spans="1:11">
      <c r="A2" s="159" t="s">
        <v>467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="1" customFormat="1" ht="15" customHeight="1" spans="1:1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</row>
    <row r="4" s="1" customFormat="1" ht="23.25" customHeight="1" spans="1:11">
      <c r="A4" s="160" t="s">
        <v>95</v>
      </c>
      <c r="B4" s="160"/>
      <c r="C4" s="160"/>
      <c r="D4" s="160"/>
      <c r="E4" s="161" t="str">
        <f>[1]普通混凝土单元!D3</f>
        <v>进水闸工程</v>
      </c>
      <c r="F4" s="161"/>
      <c r="G4" s="161"/>
      <c r="H4" s="160" t="s">
        <v>128</v>
      </c>
      <c r="I4" s="189" t="s">
        <v>129</v>
      </c>
      <c r="J4" s="189"/>
      <c r="K4" s="189"/>
    </row>
    <row r="5" s="1" customFormat="1" ht="23.25" customHeight="1" spans="1:11">
      <c r="A5" s="160" t="s">
        <v>97</v>
      </c>
      <c r="B5" s="160"/>
      <c r="C5" s="160"/>
      <c r="D5" s="160"/>
      <c r="E5" s="161" t="str">
        <f>[1]普通混凝土单元!D4</f>
        <v>闸室段</v>
      </c>
      <c r="F5" s="161"/>
      <c r="G5" s="161"/>
      <c r="H5" s="160" t="s">
        <v>98</v>
      </c>
      <c r="I5" s="189" t="s">
        <v>99</v>
      </c>
      <c r="J5" s="189"/>
      <c r="K5" s="189"/>
    </row>
    <row r="6" s="1" customFormat="1" ht="23.25" customHeight="1" spans="1:11">
      <c r="A6" s="160" t="s">
        <v>100</v>
      </c>
      <c r="B6" s="160"/>
      <c r="C6" s="160"/>
      <c r="D6" s="160"/>
      <c r="E6" s="69" t="str">
        <f>[1]普通混凝土单元!D5</f>
        <v>2#闸墩，▽152.500～154.500m</v>
      </c>
      <c r="F6" s="161"/>
      <c r="G6" s="161"/>
      <c r="H6" s="160" t="s">
        <v>102</v>
      </c>
      <c r="I6" s="189" t="s">
        <v>468</v>
      </c>
      <c r="J6" s="189"/>
      <c r="K6" s="189"/>
    </row>
    <row r="7" s="1" customFormat="1" ht="25.5" customHeight="1" spans="1:11">
      <c r="A7" s="160" t="s">
        <v>50</v>
      </c>
      <c r="B7" s="160" t="s">
        <v>133</v>
      </c>
      <c r="C7" s="160"/>
      <c r="D7" s="160"/>
      <c r="E7" s="160"/>
      <c r="F7" s="160" t="s">
        <v>134</v>
      </c>
      <c r="G7" s="160" t="s">
        <v>135</v>
      </c>
      <c r="H7" s="160"/>
      <c r="I7" s="160"/>
      <c r="J7" s="160" t="s">
        <v>136</v>
      </c>
      <c r="K7" s="160" t="s">
        <v>137</v>
      </c>
    </row>
    <row r="8" s="1" customFormat="1" ht="53.25" customHeight="1" spans="1:11">
      <c r="A8" s="162" t="s">
        <v>138</v>
      </c>
      <c r="B8" s="163">
        <v>1</v>
      </c>
      <c r="C8" s="163"/>
      <c r="D8" s="164" t="s">
        <v>469</v>
      </c>
      <c r="E8" s="165"/>
      <c r="F8" s="166" t="s">
        <v>470</v>
      </c>
      <c r="G8" s="160" t="s">
        <v>471</v>
      </c>
      <c r="H8" s="167"/>
      <c r="I8" s="167"/>
      <c r="J8" s="167" t="s">
        <v>129</v>
      </c>
      <c r="K8" s="190">
        <v>1</v>
      </c>
    </row>
    <row r="9" s="1" customFormat="1" ht="41.25" customHeight="1" spans="1:11">
      <c r="A9" s="162"/>
      <c r="B9" s="163">
        <v>2</v>
      </c>
      <c r="C9" s="163"/>
      <c r="D9" s="164" t="s">
        <v>472</v>
      </c>
      <c r="E9" s="165"/>
      <c r="F9" s="166" t="s">
        <v>473</v>
      </c>
      <c r="G9" s="160" t="s">
        <v>474</v>
      </c>
      <c r="H9" s="167"/>
      <c r="I9" s="167"/>
      <c r="J9" s="167" t="s">
        <v>129</v>
      </c>
      <c r="K9" s="190">
        <v>1</v>
      </c>
    </row>
    <row r="10" s="1" customFormat="1" ht="41.25" customHeight="1" spans="1:11">
      <c r="A10" s="162" t="s">
        <v>148</v>
      </c>
      <c r="B10" s="163">
        <v>1</v>
      </c>
      <c r="C10" s="168"/>
      <c r="D10" s="164" t="s">
        <v>475</v>
      </c>
      <c r="E10" s="165"/>
      <c r="F10" s="169" t="s">
        <v>460</v>
      </c>
      <c r="G10" s="170" t="s">
        <v>476</v>
      </c>
      <c r="H10" s="171"/>
      <c r="I10" s="171"/>
      <c r="J10" s="171" t="s">
        <v>129</v>
      </c>
      <c r="K10" s="191">
        <v>0.7</v>
      </c>
    </row>
    <row r="11" s="1" customFormat="1" ht="39.75" customHeight="1" spans="1:11">
      <c r="A11" s="172" t="s">
        <v>158</v>
      </c>
      <c r="B11" s="173"/>
      <c r="C11" s="174" t="s">
        <v>477</v>
      </c>
      <c r="D11" s="175"/>
      <c r="E11" s="175"/>
      <c r="F11" s="175"/>
      <c r="G11" s="175"/>
      <c r="H11" s="175"/>
      <c r="I11" s="175"/>
      <c r="J11" s="175"/>
      <c r="K11" s="192"/>
    </row>
    <row r="12" s="1" customFormat="1" ht="30.75" customHeight="1" spans="1:11">
      <c r="A12" s="176"/>
      <c r="B12" s="177"/>
      <c r="C12" s="178" t="s">
        <v>478</v>
      </c>
      <c r="D12" s="179"/>
      <c r="E12" s="179"/>
      <c r="F12" s="179"/>
      <c r="G12" s="179"/>
      <c r="H12" s="179"/>
      <c r="I12" s="179"/>
      <c r="J12" s="179"/>
      <c r="K12" s="193"/>
    </row>
    <row r="13" s="1" customFormat="1" ht="30.75" customHeight="1" spans="1:11">
      <c r="A13" s="176"/>
      <c r="B13" s="177"/>
      <c r="C13" s="178" t="s">
        <v>479</v>
      </c>
      <c r="D13" s="180"/>
      <c r="E13" s="180"/>
      <c r="F13" s="180"/>
      <c r="G13" s="180"/>
      <c r="H13" s="180"/>
      <c r="I13" s="180"/>
      <c r="J13" s="180"/>
      <c r="K13" s="194"/>
    </row>
    <row r="14" s="1" customFormat="1" ht="30.75" customHeight="1" spans="1:11">
      <c r="A14" s="176"/>
      <c r="B14" s="177"/>
      <c r="C14" s="181"/>
      <c r="D14" s="182"/>
      <c r="E14" s="182"/>
      <c r="F14" s="182"/>
      <c r="G14" s="182"/>
      <c r="H14" s="182"/>
      <c r="I14" s="182"/>
      <c r="J14" s="182"/>
      <c r="K14" s="195"/>
    </row>
    <row r="15" s="1" customFormat="1" ht="30.75" customHeight="1" spans="1:11">
      <c r="A15" s="176"/>
      <c r="B15" s="177"/>
      <c r="C15" s="181"/>
      <c r="D15" s="182"/>
      <c r="E15" s="182"/>
      <c r="F15" s="182"/>
      <c r="G15" s="182"/>
      <c r="H15" s="182"/>
      <c r="I15" s="182"/>
      <c r="J15" s="182"/>
      <c r="K15" s="195"/>
    </row>
    <row r="16" s="1" customFormat="1" ht="30.75" customHeight="1" spans="1:11">
      <c r="A16" s="176"/>
      <c r="B16" s="177"/>
      <c r="C16" s="181"/>
      <c r="D16" s="182"/>
      <c r="E16" s="182"/>
      <c r="F16" s="182"/>
      <c r="G16" s="182"/>
      <c r="H16" s="182"/>
      <c r="I16" s="182"/>
      <c r="J16" s="182"/>
      <c r="K16" s="195"/>
    </row>
    <row r="17" s="1" customFormat="1" ht="30.75" customHeight="1" spans="1:11">
      <c r="A17" s="183"/>
      <c r="B17" s="184"/>
      <c r="C17" s="185" t="s">
        <v>480</v>
      </c>
      <c r="D17" s="186"/>
      <c r="E17" s="186"/>
      <c r="F17" s="186"/>
      <c r="G17" s="186"/>
      <c r="H17" s="186"/>
      <c r="I17" s="186"/>
      <c r="J17" s="186"/>
      <c r="K17" s="196"/>
    </row>
    <row r="18" s="1" customFormat="1" ht="36.75" customHeight="1" spans="1:11">
      <c r="A18" s="172" t="s">
        <v>163</v>
      </c>
      <c r="B18" s="173"/>
      <c r="C18" s="187" t="s">
        <v>481</v>
      </c>
      <c r="D18" s="175"/>
      <c r="E18" s="175"/>
      <c r="F18" s="175"/>
      <c r="G18" s="175"/>
      <c r="H18" s="175"/>
      <c r="I18" s="175"/>
      <c r="J18" s="175"/>
      <c r="K18" s="192"/>
    </row>
    <row r="19" s="1" customFormat="1" ht="30.75" customHeight="1" spans="1:11">
      <c r="A19" s="176"/>
      <c r="B19" s="177"/>
      <c r="C19" s="188" t="s">
        <v>482</v>
      </c>
      <c r="D19" s="179"/>
      <c r="E19" s="179"/>
      <c r="F19" s="179"/>
      <c r="G19" s="179"/>
      <c r="H19" s="179"/>
      <c r="I19" s="179"/>
      <c r="J19" s="179"/>
      <c r="K19" s="193"/>
    </row>
    <row r="20" s="1" customFormat="1" ht="30.75" customHeight="1" spans="1:11">
      <c r="A20" s="176"/>
      <c r="B20" s="177"/>
      <c r="C20" s="178" t="s">
        <v>483</v>
      </c>
      <c r="D20" s="180"/>
      <c r="E20" s="180"/>
      <c r="F20" s="180"/>
      <c r="G20" s="180"/>
      <c r="H20" s="180"/>
      <c r="I20" s="180"/>
      <c r="J20" s="180"/>
      <c r="K20" s="194"/>
    </row>
    <row r="21" s="1" customFormat="1" ht="30.75" customHeight="1" spans="1:11">
      <c r="A21" s="176"/>
      <c r="B21" s="177"/>
      <c r="C21" s="181"/>
      <c r="D21" s="182"/>
      <c r="E21" s="182"/>
      <c r="F21" s="182"/>
      <c r="G21" s="182"/>
      <c r="H21" s="182"/>
      <c r="I21" s="182"/>
      <c r="J21" s="182"/>
      <c r="K21" s="195"/>
    </row>
    <row r="22" s="1" customFormat="1" ht="23.25" customHeight="1" spans="1:11">
      <c r="A22" s="176"/>
      <c r="B22" s="177"/>
      <c r="C22" s="181"/>
      <c r="D22" s="182"/>
      <c r="E22" s="182"/>
      <c r="F22" s="182"/>
      <c r="G22" s="182"/>
      <c r="H22" s="182"/>
      <c r="I22" s="182"/>
      <c r="J22" s="182"/>
      <c r="K22" s="195"/>
    </row>
    <row r="23" s="1" customFormat="1" ht="30.75" customHeight="1" spans="1:11">
      <c r="A23" s="176"/>
      <c r="B23" s="177"/>
      <c r="C23" s="181"/>
      <c r="D23" s="182"/>
      <c r="E23" s="182"/>
      <c r="F23" s="182"/>
      <c r="G23" s="182"/>
      <c r="H23" s="182"/>
      <c r="I23" s="182"/>
      <c r="J23" s="182"/>
      <c r="K23" s="195"/>
    </row>
    <row r="24" s="1" customFormat="1" ht="30.75" customHeight="1" spans="1:11">
      <c r="A24" s="183"/>
      <c r="B24" s="184"/>
      <c r="C24" s="185" t="s">
        <v>484</v>
      </c>
      <c r="D24" s="186"/>
      <c r="E24" s="186"/>
      <c r="F24" s="186"/>
      <c r="G24" s="186"/>
      <c r="H24" s="186"/>
      <c r="I24" s="186"/>
      <c r="J24" s="186"/>
      <c r="K24" s="196"/>
    </row>
  </sheetData>
  <mergeCells count="39">
    <mergeCell ref="A1:K1"/>
    <mergeCell ref="A4:D4"/>
    <mergeCell ref="E4:G4"/>
    <mergeCell ref="I4:K4"/>
    <mergeCell ref="A5:D5"/>
    <mergeCell ref="E5:G5"/>
    <mergeCell ref="I5:K5"/>
    <mergeCell ref="A6:D6"/>
    <mergeCell ref="E6:G6"/>
    <mergeCell ref="I6:K6"/>
    <mergeCell ref="B7:E7"/>
    <mergeCell ref="G7:I7"/>
    <mergeCell ref="B8:C8"/>
    <mergeCell ref="D8:E8"/>
    <mergeCell ref="G8:I8"/>
    <mergeCell ref="B9:C9"/>
    <mergeCell ref="D9:E9"/>
    <mergeCell ref="G9:I9"/>
    <mergeCell ref="B10:C10"/>
    <mergeCell ref="D10:E10"/>
    <mergeCell ref="G10:I10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C20:K20"/>
    <mergeCell ref="C21:K21"/>
    <mergeCell ref="C22:K22"/>
    <mergeCell ref="C23:K23"/>
    <mergeCell ref="C24:K24"/>
    <mergeCell ref="A8:A9"/>
    <mergeCell ref="A2:K3"/>
    <mergeCell ref="A11:B17"/>
    <mergeCell ref="A18:B24"/>
  </mergeCells>
  <pageMargins left="0.75" right="0.75" top="1" bottom="1" header="0.5" footer="0.5"/>
  <pageSetup paperSize="9" scale="93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7"/>
  <sheetViews>
    <sheetView topLeftCell="A23" workbookViewId="0">
      <selection activeCell="S31" sqref="S31"/>
    </sheetView>
  </sheetViews>
  <sheetFormatPr defaultColWidth="10.2857142857143" defaultRowHeight="13.5"/>
  <cols>
    <col min="1" max="1" width="3.42857142857143" style="1" customWidth="1"/>
    <col min="2" max="2" width="4.46666666666667" style="1" customWidth="1"/>
    <col min="3" max="3" width="10.2857142857143" style="1" customWidth="1"/>
    <col min="4" max="4" width="4.87619047619048" style="1" customWidth="1"/>
    <col min="5" max="5" width="12.8761904761905" style="1" customWidth="1"/>
    <col min="6" max="6" width="12.9904761904762" style="1" customWidth="1"/>
    <col min="7" max="7" width="10.2857142857143" style="1"/>
    <col min="8" max="8" width="4.87619047619048" style="1" customWidth="1"/>
    <col min="9" max="14" width="4.15238095238095" style="1" customWidth="1"/>
    <col min="15" max="16" width="8.41904761904762" style="1" customWidth="1"/>
    <col min="17" max="16384" width="10.2857142857143" style="1"/>
  </cols>
  <sheetData>
    <row r="1" s="1" customFormat="1" ht="18.75" spans="1:16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18.75" spans="1:16">
      <c r="A2" s="64" t="s">
        <v>485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="1" customFormat="1" ht="30.75" customHeight="1" spans="1:17">
      <c r="A3" s="5" t="s">
        <v>95</v>
      </c>
      <c r="B3" s="5"/>
      <c r="C3" s="5"/>
      <c r="D3" s="65" t="str">
        <f>[1]普通混凝土单元!D3</f>
        <v>进水闸工程</v>
      </c>
      <c r="E3" s="66"/>
      <c r="F3" s="66"/>
      <c r="G3" s="67"/>
      <c r="H3" s="7" t="s">
        <v>128</v>
      </c>
      <c r="I3" s="51"/>
      <c r="J3" s="7" t="s">
        <v>129</v>
      </c>
      <c r="K3" s="50"/>
      <c r="L3" s="50"/>
      <c r="M3" s="50"/>
      <c r="N3" s="50"/>
      <c r="O3" s="50"/>
      <c r="P3" s="51"/>
      <c r="Q3" s="156"/>
    </row>
    <row r="4" s="1" customFormat="1" ht="30.75" customHeight="1" spans="1:17">
      <c r="A4" s="5" t="s">
        <v>97</v>
      </c>
      <c r="B4" s="5"/>
      <c r="C4" s="5"/>
      <c r="D4" s="68" t="str">
        <f>[1]普通混凝土单元!D4</f>
        <v>闸室段</v>
      </c>
      <c r="E4" s="66"/>
      <c r="F4" s="66"/>
      <c r="G4" s="67"/>
      <c r="H4" s="7" t="s">
        <v>98</v>
      </c>
      <c r="I4" s="51"/>
      <c r="J4" s="9" t="s">
        <v>99</v>
      </c>
      <c r="K4" s="52"/>
      <c r="L4" s="52"/>
      <c r="M4" s="52"/>
      <c r="N4" s="52"/>
      <c r="O4" s="52"/>
      <c r="P4" s="53"/>
      <c r="Q4" s="156"/>
    </row>
    <row r="5" s="1" customFormat="1" ht="30.75" customHeight="1" spans="1:16">
      <c r="A5" s="5" t="s">
        <v>100</v>
      </c>
      <c r="B5" s="5"/>
      <c r="C5" s="5"/>
      <c r="D5" s="65" t="str">
        <f>[1]普通混凝土单元!D5</f>
        <v>2#闸墩，▽152.500～154.500m</v>
      </c>
      <c r="E5" s="66"/>
      <c r="F5" s="66"/>
      <c r="G5" s="67"/>
      <c r="H5" s="7" t="s">
        <v>102</v>
      </c>
      <c r="I5" s="51"/>
      <c r="J5" s="7" t="s">
        <v>438</v>
      </c>
      <c r="K5" s="50"/>
      <c r="L5" s="50"/>
      <c r="M5" s="50"/>
      <c r="N5" s="50"/>
      <c r="O5" s="50"/>
      <c r="P5" s="51"/>
    </row>
    <row r="6" s="1" customFormat="1" ht="17.25" customHeight="1" spans="1:16">
      <c r="A6" s="5" t="s">
        <v>50</v>
      </c>
      <c r="B6" s="5"/>
      <c r="C6" s="5" t="s">
        <v>133</v>
      </c>
      <c r="D6" s="5"/>
      <c r="E6" s="5"/>
      <c r="F6" s="5" t="s">
        <v>134</v>
      </c>
      <c r="G6" s="5"/>
      <c r="H6" s="5"/>
      <c r="I6" s="7" t="s">
        <v>135</v>
      </c>
      <c r="J6" s="50"/>
      <c r="K6" s="50"/>
      <c r="L6" s="50"/>
      <c r="M6" s="50"/>
      <c r="N6" s="51"/>
      <c r="O6" s="5" t="s">
        <v>136</v>
      </c>
      <c r="P6" s="5" t="s">
        <v>137</v>
      </c>
    </row>
    <row r="7" s="1" customFormat="1" ht="42" customHeight="1" spans="1:16">
      <c r="A7" s="5" t="s">
        <v>138</v>
      </c>
      <c r="B7" s="5">
        <v>1</v>
      </c>
      <c r="C7" s="5" t="s">
        <v>486</v>
      </c>
      <c r="D7" s="5"/>
      <c r="E7" s="5"/>
      <c r="F7" s="78" t="s">
        <v>487</v>
      </c>
      <c r="G7" s="78"/>
      <c r="H7" s="78"/>
      <c r="I7" s="148" t="s">
        <v>488</v>
      </c>
      <c r="J7" s="149"/>
      <c r="K7" s="149"/>
      <c r="L7" s="149"/>
      <c r="M7" s="149"/>
      <c r="N7" s="150"/>
      <c r="O7" s="29" t="s">
        <v>129</v>
      </c>
      <c r="P7" s="58">
        <v>1</v>
      </c>
    </row>
    <row r="8" s="1" customFormat="1" ht="15.75" customHeight="1" spans="1:16">
      <c r="A8" s="5"/>
      <c r="B8" s="5">
        <v>2</v>
      </c>
      <c r="C8" s="5" t="s">
        <v>489</v>
      </c>
      <c r="D8" s="5"/>
      <c r="E8" s="5"/>
      <c r="F8" s="78" t="s">
        <v>490</v>
      </c>
      <c r="G8" s="78"/>
      <c r="H8" s="78"/>
      <c r="I8" s="142" t="s">
        <v>129</v>
      </c>
      <c r="J8" s="140"/>
      <c r="K8" s="140"/>
      <c r="L8" s="140"/>
      <c r="M8" s="140"/>
      <c r="N8" s="141"/>
      <c r="O8" s="29" t="s">
        <v>129</v>
      </c>
      <c r="P8" s="58" t="s">
        <v>129</v>
      </c>
    </row>
    <row r="9" s="1" customFormat="1" ht="25" customHeight="1" spans="1:16">
      <c r="A9" s="5"/>
      <c r="B9" s="10">
        <v>3</v>
      </c>
      <c r="C9" s="13" t="s">
        <v>491</v>
      </c>
      <c r="D9" s="14"/>
      <c r="E9" s="10" t="s">
        <v>492</v>
      </c>
      <c r="F9" s="11" t="s">
        <v>423</v>
      </c>
      <c r="G9" s="84"/>
      <c r="H9" s="84"/>
      <c r="I9" s="15" t="s">
        <v>493</v>
      </c>
      <c r="J9" s="16"/>
      <c r="K9" s="16"/>
      <c r="L9" s="16"/>
      <c r="M9" s="16"/>
      <c r="N9" s="54"/>
      <c r="O9" s="54">
        <v>20</v>
      </c>
      <c r="P9" s="55">
        <v>1</v>
      </c>
    </row>
    <row r="10" s="1" customFormat="1" ht="24" customHeight="1" spans="1:16">
      <c r="A10" s="5"/>
      <c r="B10" s="30"/>
      <c r="C10" s="41"/>
      <c r="D10" s="61"/>
      <c r="E10" s="17"/>
      <c r="F10" s="18"/>
      <c r="G10" s="122"/>
      <c r="H10" s="122"/>
      <c r="I10" s="22"/>
      <c r="J10" s="23"/>
      <c r="K10" s="23"/>
      <c r="L10" s="23"/>
      <c r="M10" s="23"/>
      <c r="N10" s="56"/>
      <c r="O10" s="56"/>
      <c r="P10" s="57"/>
    </row>
    <row r="11" s="1" customFormat="1" ht="26" customHeight="1" spans="1:16">
      <c r="A11" s="5"/>
      <c r="B11" s="30"/>
      <c r="C11" s="41"/>
      <c r="D11" s="61"/>
      <c r="E11" s="10" t="s">
        <v>494</v>
      </c>
      <c r="F11" s="11" t="s">
        <v>423</v>
      </c>
      <c r="G11" s="84"/>
      <c r="H11" s="84"/>
      <c r="I11" s="151" t="s">
        <v>495</v>
      </c>
      <c r="J11" s="16"/>
      <c r="K11" s="16"/>
      <c r="L11" s="16"/>
      <c r="M11" s="16"/>
      <c r="N11" s="54"/>
      <c r="O11" s="54">
        <v>20</v>
      </c>
      <c r="P11" s="55">
        <v>1</v>
      </c>
    </row>
    <row r="12" s="1" customFormat="1" ht="26" customHeight="1" spans="1:16">
      <c r="A12" s="5"/>
      <c r="B12" s="30"/>
      <c r="C12" s="41"/>
      <c r="D12" s="61"/>
      <c r="E12" s="17"/>
      <c r="F12" s="18"/>
      <c r="G12" s="122"/>
      <c r="H12" s="122"/>
      <c r="I12" s="22"/>
      <c r="J12" s="23"/>
      <c r="K12" s="23"/>
      <c r="L12" s="23"/>
      <c r="M12" s="23"/>
      <c r="N12" s="56"/>
      <c r="O12" s="56"/>
      <c r="P12" s="57"/>
    </row>
    <row r="13" s="1" customFormat="1" ht="22" customHeight="1" spans="1:16">
      <c r="A13" s="5"/>
      <c r="B13" s="30"/>
      <c r="C13" s="41"/>
      <c r="D13" s="61"/>
      <c r="E13" s="10" t="s">
        <v>389</v>
      </c>
      <c r="F13" s="11" t="s">
        <v>388</v>
      </c>
      <c r="G13" s="84"/>
      <c r="H13" s="84"/>
      <c r="I13" s="139" t="s">
        <v>476</v>
      </c>
      <c r="J13" s="140"/>
      <c r="K13" s="140"/>
      <c r="L13" s="140"/>
      <c r="M13" s="140"/>
      <c r="N13" s="141"/>
      <c r="O13" s="54">
        <v>20</v>
      </c>
      <c r="P13" s="55">
        <v>1</v>
      </c>
    </row>
    <row r="14" s="1" customFormat="1" ht="22" customHeight="1" spans="1:16">
      <c r="A14" s="5"/>
      <c r="B14" s="17"/>
      <c r="C14" s="20"/>
      <c r="D14" s="21"/>
      <c r="E14" s="17"/>
      <c r="F14" s="18"/>
      <c r="G14" s="122"/>
      <c r="H14" s="122"/>
      <c r="I14" s="144"/>
      <c r="J14" s="145"/>
      <c r="K14" s="145"/>
      <c r="L14" s="145"/>
      <c r="M14" s="145"/>
      <c r="N14" s="146"/>
      <c r="O14" s="56"/>
      <c r="P14" s="57"/>
    </row>
    <row r="15" s="1" customFormat="1" ht="72" customHeight="1" spans="1:16">
      <c r="A15" s="5"/>
      <c r="B15" s="5">
        <v>4</v>
      </c>
      <c r="C15" s="78" t="s">
        <v>496</v>
      </c>
      <c r="D15" s="78"/>
      <c r="E15" s="10" t="s">
        <v>497</v>
      </c>
      <c r="F15" s="11" t="s">
        <v>498</v>
      </c>
      <c r="G15" s="84"/>
      <c r="H15" s="84"/>
      <c r="I15" s="25" t="s">
        <v>499</v>
      </c>
      <c r="J15" s="16"/>
      <c r="K15" s="16"/>
      <c r="L15" s="16"/>
      <c r="M15" s="16"/>
      <c r="N15" s="54"/>
      <c r="O15" s="54">
        <v>20</v>
      </c>
      <c r="P15" s="55">
        <v>1</v>
      </c>
    </row>
    <row r="16" s="1" customFormat="1" ht="72" customHeight="1" spans="1:16">
      <c r="A16" s="5"/>
      <c r="B16" s="5"/>
      <c r="C16" s="78"/>
      <c r="D16" s="78"/>
      <c r="E16" s="17"/>
      <c r="F16" s="18"/>
      <c r="G16" s="122"/>
      <c r="H16" s="122"/>
      <c r="I16" s="22"/>
      <c r="J16" s="23"/>
      <c r="K16" s="23"/>
      <c r="L16" s="23"/>
      <c r="M16" s="23"/>
      <c r="N16" s="56"/>
      <c r="O16" s="56"/>
      <c r="P16" s="57"/>
    </row>
    <row r="17" s="1" customFormat="1" ht="15" customHeight="1" spans="1:16">
      <c r="A17" s="5"/>
      <c r="B17" s="5"/>
      <c r="C17" s="78"/>
      <c r="D17" s="78"/>
      <c r="E17" s="10" t="s">
        <v>500</v>
      </c>
      <c r="F17" s="11" t="s">
        <v>501</v>
      </c>
      <c r="G17" s="84"/>
      <c r="H17" s="84"/>
      <c r="I17" s="142" t="s">
        <v>129</v>
      </c>
      <c r="J17" s="140"/>
      <c r="K17" s="140"/>
      <c r="L17" s="140"/>
      <c r="M17" s="140"/>
      <c r="N17" s="141"/>
      <c r="O17" s="141" t="s">
        <v>129</v>
      </c>
      <c r="P17" s="143" t="s">
        <v>129</v>
      </c>
    </row>
    <row r="18" s="1" customFormat="1" ht="15" customHeight="1" spans="1:16">
      <c r="A18" s="5"/>
      <c r="B18" s="5"/>
      <c r="C18" s="78"/>
      <c r="D18" s="78"/>
      <c r="E18" s="17"/>
      <c r="F18" s="18"/>
      <c r="G18" s="122"/>
      <c r="H18" s="122"/>
      <c r="I18" s="144"/>
      <c r="J18" s="145"/>
      <c r="K18" s="145"/>
      <c r="L18" s="145"/>
      <c r="M18" s="145"/>
      <c r="N18" s="146"/>
      <c r="O18" s="146"/>
      <c r="P18" s="147"/>
    </row>
    <row r="19" s="1" customFormat="1" ht="82" customHeight="1" spans="1:16">
      <c r="A19" s="5"/>
      <c r="B19" s="5">
        <v>5</v>
      </c>
      <c r="C19" s="78" t="s">
        <v>502</v>
      </c>
      <c r="D19" s="78"/>
      <c r="E19" s="5" t="s">
        <v>503</v>
      </c>
      <c r="F19" s="78" t="s">
        <v>504</v>
      </c>
      <c r="G19" s="78"/>
      <c r="H19" s="78"/>
      <c r="I19" s="152" t="s">
        <v>505</v>
      </c>
      <c r="J19" s="153"/>
      <c r="K19" s="153"/>
      <c r="L19" s="153"/>
      <c r="M19" s="153"/>
      <c r="N19" s="154"/>
      <c r="O19" s="73">
        <v>4</v>
      </c>
      <c r="P19" s="74">
        <v>1</v>
      </c>
    </row>
    <row r="20" s="1" customFormat="1" ht="71" customHeight="1" spans="1:16">
      <c r="A20" s="5"/>
      <c r="B20" s="5"/>
      <c r="C20" s="78"/>
      <c r="D20" s="78"/>
      <c r="E20" s="5" t="s">
        <v>506</v>
      </c>
      <c r="F20" s="78" t="s">
        <v>423</v>
      </c>
      <c r="G20" s="78"/>
      <c r="H20" s="78"/>
      <c r="I20" s="152" t="s">
        <v>507</v>
      </c>
      <c r="J20" s="153"/>
      <c r="K20" s="153"/>
      <c r="L20" s="153"/>
      <c r="M20" s="153"/>
      <c r="N20" s="154"/>
      <c r="O20" s="73">
        <v>2</v>
      </c>
      <c r="P20" s="74">
        <v>1</v>
      </c>
    </row>
    <row r="21" s="1" customFormat="1" ht="32" customHeight="1" spans="1:16">
      <c r="A21" s="5" t="s">
        <v>148</v>
      </c>
      <c r="B21" s="5">
        <v>1</v>
      </c>
      <c r="C21" s="78" t="s">
        <v>508</v>
      </c>
      <c r="D21" s="78"/>
      <c r="E21" s="5" t="s">
        <v>497</v>
      </c>
      <c r="F21" s="11" t="s">
        <v>509</v>
      </c>
      <c r="G21" s="84"/>
      <c r="H21" s="12"/>
      <c r="I21" s="15" t="s">
        <v>510</v>
      </c>
      <c r="J21" s="16"/>
      <c r="K21" s="16"/>
      <c r="L21" s="16"/>
      <c r="M21" s="16"/>
      <c r="N21" s="54"/>
      <c r="O21" s="54">
        <v>20</v>
      </c>
      <c r="P21" s="55">
        <v>1</v>
      </c>
    </row>
    <row r="22" s="1" customFormat="1" ht="32" customHeight="1" spans="1:16">
      <c r="A22" s="5"/>
      <c r="B22" s="5"/>
      <c r="C22" s="78"/>
      <c r="D22" s="78"/>
      <c r="E22" s="5"/>
      <c r="F22" s="18"/>
      <c r="G22" s="122"/>
      <c r="H22" s="19"/>
      <c r="I22" s="22"/>
      <c r="J22" s="23"/>
      <c r="K22" s="23"/>
      <c r="L22" s="23"/>
      <c r="M22" s="23"/>
      <c r="N22" s="56"/>
      <c r="O22" s="56"/>
      <c r="P22" s="57"/>
    </row>
    <row r="23" s="1" customFormat="1" ht="15" customHeight="1" spans="1:16">
      <c r="A23" s="5"/>
      <c r="B23" s="5"/>
      <c r="C23" s="78"/>
      <c r="D23" s="78"/>
      <c r="E23" s="5" t="s">
        <v>500</v>
      </c>
      <c r="F23" s="78" t="s">
        <v>408</v>
      </c>
      <c r="G23" s="78"/>
      <c r="H23" s="78"/>
      <c r="I23" s="155" t="s">
        <v>129</v>
      </c>
      <c r="J23" s="149"/>
      <c r="K23" s="149"/>
      <c r="L23" s="149"/>
      <c r="M23" s="149"/>
      <c r="N23" s="150"/>
      <c r="O23" s="29" t="s">
        <v>129</v>
      </c>
      <c r="P23" s="58" t="s">
        <v>129</v>
      </c>
    </row>
    <row r="24" s="1" customFormat="1" ht="44" customHeight="1" spans="1:16">
      <c r="A24" s="5"/>
      <c r="B24" s="5">
        <v>2</v>
      </c>
      <c r="C24" s="11" t="s">
        <v>511</v>
      </c>
      <c r="D24" s="12"/>
      <c r="E24" s="5" t="s">
        <v>497</v>
      </c>
      <c r="F24" s="11" t="s">
        <v>512</v>
      </c>
      <c r="G24" s="84"/>
      <c r="H24" s="12"/>
      <c r="I24" s="15" t="s">
        <v>513</v>
      </c>
      <c r="J24" s="16"/>
      <c r="K24" s="16"/>
      <c r="L24" s="16"/>
      <c r="M24" s="16"/>
      <c r="N24" s="54"/>
      <c r="O24" s="154">
        <v>26</v>
      </c>
      <c r="P24" s="55">
        <v>0.867</v>
      </c>
    </row>
    <row r="25" s="1" customFormat="1" ht="44" customHeight="1" spans="1:16">
      <c r="A25" s="5"/>
      <c r="B25" s="5"/>
      <c r="C25" s="82"/>
      <c r="D25" s="111"/>
      <c r="E25" s="5"/>
      <c r="F25" s="18"/>
      <c r="G25" s="122"/>
      <c r="H25" s="19"/>
      <c r="I25" s="22"/>
      <c r="J25" s="23"/>
      <c r="K25" s="23"/>
      <c r="L25" s="23"/>
      <c r="M25" s="23"/>
      <c r="N25" s="56"/>
      <c r="O25" s="154"/>
      <c r="P25" s="57"/>
    </row>
    <row r="26" s="1" customFormat="1" ht="15" customHeight="1" spans="1:16">
      <c r="A26" s="5"/>
      <c r="B26" s="5"/>
      <c r="C26" s="18"/>
      <c r="D26" s="19"/>
      <c r="E26" s="5" t="s">
        <v>500</v>
      </c>
      <c r="F26" s="78" t="s">
        <v>391</v>
      </c>
      <c r="G26" s="78"/>
      <c r="H26" s="78"/>
      <c r="I26" s="155" t="s">
        <v>129</v>
      </c>
      <c r="J26" s="149"/>
      <c r="K26" s="149"/>
      <c r="L26" s="149"/>
      <c r="M26" s="149"/>
      <c r="N26" s="150"/>
      <c r="O26" s="29" t="s">
        <v>129</v>
      </c>
      <c r="P26" s="58" t="s">
        <v>129</v>
      </c>
    </row>
    <row r="27" s="1" customFormat="1" ht="15" customHeight="1" spans="1:16">
      <c r="A27" s="5"/>
      <c r="B27" s="5">
        <v>3</v>
      </c>
      <c r="C27" s="11" t="s">
        <v>514</v>
      </c>
      <c r="D27" s="12"/>
      <c r="E27" s="5" t="s">
        <v>497</v>
      </c>
      <c r="F27" s="11" t="s">
        <v>515</v>
      </c>
      <c r="G27" s="84"/>
      <c r="H27" s="12"/>
      <c r="I27" s="15" t="s">
        <v>516</v>
      </c>
      <c r="J27" s="16"/>
      <c r="K27" s="16"/>
      <c r="L27" s="16"/>
      <c r="M27" s="16"/>
      <c r="N27" s="54"/>
      <c r="O27" s="54">
        <v>8</v>
      </c>
      <c r="P27" s="55">
        <v>0.8</v>
      </c>
    </row>
    <row r="28" s="1" customFormat="1" ht="15" customHeight="1" spans="1:16">
      <c r="A28" s="5"/>
      <c r="B28" s="5"/>
      <c r="C28" s="82"/>
      <c r="D28" s="111"/>
      <c r="E28" s="5"/>
      <c r="F28" s="18"/>
      <c r="G28" s="122"/>
      <c r="H28" s="19"/>
      <c r="I28" s="22"/>
      <c r="J28" s="23"/>
      <c r="K28" s="23"/>
      <c r="L28" s="23"/>
      <c r="M28" s="23"/>
      <c r="N28" s="56"/>
      <c r="O28" s="56"/>
      <c r="P28" s="57"/>
    </row>
    <row r="29" s="1" customFormat="1" ht="15" customHeight="1" spans="1:16">
      <c r="A29" s="5"/>
      <c r="B29" s="5"/>
      <c r="C29" s="18"/>
      <c r="D29" s="19"/>
      <c r="E29" s="5" t="s">
        <v>500</v>
      </c>
      <c r="F29" s="78" t="s">
        <v>517</v>
      </c>
      <c r="G29" s="78"/>
      <c r="H29" s="78"/>
      <c r="I29" s="155" t="s">
        <v>129</v>
      </c>
      <c r="J29" s="149"/>
      <c r="K29" s="149"/>
      <c r="L29" s="149"/>
      <c r="M29" s="149"/>
      <c r="N29" s="150"/>
      <c r="O29" s="29" t="s">
        <v>129</v>
      </c>
      <c r="P29" s="58" t="s">
        <v>129</v>
      </c>
    </row>
    <row r="30" s="1" customFormat="1" ht="15" customHeight="1" spans="1:16">
      <c r="A30" s="5"/>
      <c r="B30" s="10">
        <v>4</v>
      </c>
      <c r="C30" s="13" t="s">
        <v>518</v>
      </c>
      <c r="D30" s="79"/>
      <c r="E30" s="14"/>
      <c r="F30" s="13" t="s">
        <v>415</v>
      </c>
      <c r="G30" s="79"/>
      <c r="H30" s="79"/>
      <c r="I30" s="25" t="s">
        <v>519</v>
      </c>
      <c r="J30" s="16"/>
      <c r="K30" s="16"/>
      <c r="L30" s="16"/>
      <c r="M30" s="16"/>
      <c r="N30" s="54"/>
      <c r="O30" s="54">
        <v>8</v>
      </c>
      <c r="P30" s="55">
        <v>0.8</v>
      </c>
    </row>
    <row r="31" s="1" customFormat="1" ht="141" customHeight="1" spans="1:16">
      <c r="A31" s="5"/>
      <c r="B31" s="17"/>
      <c r="C31" s="20"/>
      <c r="D31" s="44"/>
      <c r="E31" s="21"/>
      <c r="F31" s="20"/>
      <c r="G31" s="44"/>
      <c r="H31" s="44"/>
      <c r="I31" s="22"/>
      <c r="J31" s="23"/>
      <c r="K31" s="23"/>
      <c r="L31" s="23"/>
      <c r="M31" s="23"/>
      <c r="N31" s="56"/>
      <c r="O31" s="56"/>
      <c r="P31" s="57"/>
    </row>
    <row r="32" s="1" customFormat="1" ht="43" customHeight="1" spans="1:16">
      <c r="A32" s="5"/>
      <c r="B32" s="5">
        <v>5</v>
      </c>
      <c r="C32" s="5" t="s">
        <v>520</v>
      </c>
      <c r="D32" s="5"/>
      <c r="E32" s="5"/>
      <c r="F32" s="27" t="s">
        <v>521</v>
      </c>
      <c r="G32" s="27"/>
      <c r="H32" s="27"/>
      <c r="I32" s="148" t="s">
        <v>522</v>
      </c>
      <c r="J32" s="149"/>
      <c r="K32" s="149"/>
      <c r="L32" s="149"/>
      <c r="M32" s="149"/>
      <c r="N32" s="150"/>
      <c r="O32" s="29" t="s">
        <v>129</v>
      </c>
      <c r="P32" s="74">
        <v>0.7</v>
      </c>
    </row>
    <row r="33" s="1" customFormat="1" ht="42" customHeight="1" spans="1:16">
      <c r="A33" s="5"/>
      <c r="B33" s="5">
        <v>6</v>
      </c>
      <c r="C33" s="5" t="s">
        <v>523</v>
      </c>
      <c r="D33" s="5"/>
      <c r="E33" s="5"/>
      <c r="F33" s="27" t="s">
        <v>524</v>
      </c>
      <c r="G33" s="27"/>
      <c r="H33" s="27"/>
      <c r="I33" s="148" t="s">
        <v>525</v>
      </c>
      <c r="J33" s="149"/>
      <c r="K33" s="149"/>
      <c r="L33" s="149"/>
      <c r="M33" s="149"/>
      <c r="N33" s="150"/>
      <c r="O33" s="29" t="s">
        <v>129</v>
      </c>
      <c r="P33" s="74">
        <v>0.7</v>
      </c>
    </row>
    <row r="34" s="1" customFormat="1" ht="30" customHeight="1" spans="1:16">
      <c r="A34" s="5" t="s">
        <v>199</v>
      </c>
      <c r="B34" s="5"/>
      <c r="C34" s="37" t="s">
        <v>526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59"/>
    </row>
    <row r="35" s="1" customFormat="1" ht="3.75" customHeight="1" spans="1:16">
      <c r="A35" s="5"/>
      <c r="B35" s="5"/>
      <c r="C35" s="40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60"/>
    </row>
    <row r="36" s="1" customFormat="1" spans="1:16">
      <c r="A36" s="5"/>
      <c r="B36" s="5"/>
      <c r="C36" s="41" t="s">
        <v>378</v>
      </c>
      <c r="D36" s="42"/>
      <c r="E36" s="42"/>
      <c r="F36" s="43" t="s">
        <v>83</v>
      </c>
      <c r="G36" s="43"/>
      <c r="H36" s="43"/>
      <c r="I36" s="43"/>
      <c r="J36" s="43"/>
      <c r="K36" s="75"/>
      <c r="L36" s="75"/>
      <c r="M36" s="75"/>
      <c r="N36" s="75"/>
      <c r="O36" s="75"/>
      <c r="P36" s="76"/>
    </row>
    <row r="37" s="1" customFormat="1" ht="9.75" customHeight="1" spans="1:16">
      <c r="A37" s="5"/>
      <c r="B37" s="5"/>
      <c r="C37" s="45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62"/>
    </row>
    <row r="38" s="1" customFormat="1" customHeight="1" spans="1:16">
      <c r="A38" s="5"/>
      <c r="B38" s="5"/>
      <c r="C38" s="45" t="s">
        <v>118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62"/>
    </row>
    <row r="39" s="1" customFormat="1" ht="16.5" customHeight="1" spans="1:16">
      <c r="A39" s="5"/>
      <c r="B39" s="5"/>
      <c r="C39" s="47" t="s">
        <v>448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63"/>
    </row>
    <row r="40" s="1" customFormat="1" ht="27.75" customHeight="1" spans="1:16">
      <c r="A40" s="5" t="s">
        <v>201</v>
      </c>
      <c r="B40" s="5"/>
      <c r="C40" s="37" t="s">
        <v>527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59"/>
    </row>
    <row r="41" s="1" customFormat="1" ht="4.5" customHeight="1" spans="1:16">
      <c r="A41" s="5"/>
      <c r="B41" s="5"/>
      <c r="C41" s="40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60"/>
    </row>
    <row r="42" s="1" customFormat="1" spans="1:16">
      <c r="A42" s="5"/>
      <c r="B42" s="5"/>
      <c r="C42" s="40" t="s">
        <v>378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60"/>
    </row>
    <row r="43" s="1" customFormat="1" ht="3.75" customHeight="1" spans="1:16">
      <c r="A43" s="5"/>
      <c r="B43" s="5"/>
      <c r="C43" s="40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60"/>
    </row>
    <row r="44" s="1" customFormat="1" ht="6.75" customHeight="1" spans="1:16">
      <c r="A44" s="5"/>
      <c r="B44" s="5"/>
      <c r="C44" s="40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60"/>
    </row>
    <row r="45" s="1" customFormat="1" ht="21" customHeight="1" spans="1:16">
      <c r="A45" s="5"/>
      <c r="B45" s="5"/>
      <c r="C45" s="45" t="s">
        <v>118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62"/>
    </row>
    <row r="46" s="1" customFormat="1" ht="21" customHeight="1" spans="1:16">
      <c r="A46" s="5"/>
      <c r="B46" s="5"/>
      <c r="C46" s="47" t="s">
        <v>448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63"/>
    </row>
    <row r="47" s="1" customFormat="1" spans="1:16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</sheetData>
  <mergeCells count="117">
    <mergeCell ref="A1:P1"/>
    <mergeCell ref="A2:P2"/>
    <mergeCell ref="A3:C3"/>
    <mergeCell ref="D3:G3"/>
    <mergeCell ref="H3:I3"/>
    <mergeCell ref="J3:P3"/>
    <mergeCell ref="A4:C4"/>
    <mergeCell ref="D4:G4"/>
    <mergeCell ref="H4:I4"/>
    <mergeCell ref="J4:P4"/>
    <mergeCell ref="A5:C5"/>
    <mergeCell ref="D5:G5"/>
    <mergeCell ref="H5:I5"/>
    <mergeCell ref="J5:P5"/>
    <mergeCell ref="A6:B6"/>
    <mergeCell ref="C6:E6"/>
    <mergeCell ref="F6:H6"/>
    <mergeCell ref="I6:N6"/>
    <mergeCell ref="C7:E7"/>
    <mergeCell ref="F7:H7"/>
    <mergeCell ref="I7:N7"/>
    <mergeCell ref="C8:E8"/>
    <mergeCell ref="F8:H8"/>
    <mergeCell ref="I8:N8"/>
    <mergeCell ref="F19:H19"/>
    <mergeCell ref="I19:N19"/>
    <mergeCell ref="F20:H20"/>
    <mergeCell ref="I20:N20"/>
    <mergeCell ref="F23:H23"/>
    <mergeCell ref="I23:N23"/>
    <mergeCell ref="F26:H26"/>
    <mergeCell ref="I26:N26"/>
    <mergeCell ref="F29:H29"/>
    <mergeCell ref="I29:N29"/>
    <mergeCell ref="C32:E32"/>
    <mergeCell ref="F32:H32"/>
    <mergeCell ref="I32:N32"/>
    <mergeCell ref="C33:E33"/>
    <mergeCell ref="F33:H33"/>
    <mergeCell ref="I33:N33"/>
    <mergeCell ref="C34:P34"/>
    <mergeCell ref="C35:P35"/>
    <mergeCell ref="C36:E36"/>
    <mergeCell ref="F36:J36"/>
    <mergeCell ref="C37:P37"/>
    <mergeCell ref="C38:P38"/>
    <mergeCell ref="C39:P39"/>
    <mergeCell ref="C40:P40"/>
    <mergeCell ref="C41:P41"/>
    <mergeCell ref="C42:P42"/>
    <mergeCell ref="C43:P43"/>
    <mergeCell ref="C44:P44"/>
    <mergeCell ref="C45:P45"/>
    <mergeCell ref="C46:P46"/>
    <mergeCell ref="A7:A20"/>
    <mergeCell ref="A21:A33"/>
    <mergeCell ref="B9:B14"/>
    <mergeCell ref="B15:B18"/>
    <mergeCell ref="B19:B20"/>
    <mergeCell ref="B21:B23"/>
    <mergeCell ref="B24:B26"/>
    <mergeCell ref="B27:B29"/>
    <mergeCell ref="B30:B31"/>
    <mergeCell ref="E9:E10"/>
    <mergeCell ref="E11:E12"/>
    <mergeCell ref="E13:E14"/>
    <mergeCell ref="E15:E16"/>
    <mergeCell ref="E17:E18"/>
    <mergeCell ref="E21:E22"/>
    <mergeCell ref="E24:E25"/>
    <mergeCell ref="E27:E28"/>
    <mergeCell ref="O9:O10"/>
    <mergeCell ref="O11:O12"/>
    <mergeCell ref="O13:O14"/>
    <mergeCell ref="O15:O16"/>
    <mergeCell ref="O17:O18"/>
    <mergeCell ref="O21:O22"/>
    <mergeCell ref="O24:O25"/>
    <mergeCell ref="O27:O28"/>
    <mergeCell ref="O30:O31"/>
    <mergeCell ref="P9:P10"/>
    <mergeCell ref="P11:P12"/>
    <mergeCell ref="P13:P14"/>
    <mergeCell ref="P15:P16"/>
    <mergeCell ref="P17:P18"/>
    <mergeCell ref="P21:P22"/>
    <mergeCell ref="P24:P25"/>
    <mergeCell ref="P27:P28"/>
    <mergeCell ref="P30:P31"/>
    <mergeCell ref="Q3:Q4"/>
    <mergeCell ref="C9:D14"/>
    <mergeCell ref="F9:H10"/>
    <mergeCell ref="I9:N10"/>
    <mergeCell ref="F11:H12"/>
    <mergeCell ref="I11:N12"/>
    <mergeCell ref="F13:H14"/>
    <mergeCell ref="I13:N14"/>
    <mergeCell ref="C15:D18"/>
    <mergeCell ref="F15:H16"/>
    <mergeCell ref="I15:N16"/>
    <mergeCell ref="F17:H18"/>
    <mergeCell ref="I17:N18"/>
    <mergeCell ref="C19:D20"/>
    <mergeCell ref="C21:D23"/>
    <mergeCell ref="F21:H22"/>
    <mergeCell ref="I21:N22"/>
    <mergeCell ref="C24:D26"/>
    <mergeCell ref="F24:H25"/>
    <mergeCell ref="I24:N25"/>
    <mergeCell ref="C27:D29"/>
    <mergeCell ref="F27:H28"/>
    <mergeCell ref="I27:N28"/>
    <mergeCell ref="C30:E31"/>
    <mergeCell ref="F30:H31"/>
    <mergeCell ref="I30:N31"/>
    <mergeCell ref="A34:B39"/>
    <mergeCell ref="A40:B46"/>
  </mergeCells>
  <pageMargins left="0.75" right="0.75" top="1" bottom="1" header="0.5" footer="0.5"/>
  <pageSetup paperSize="9" scale="83" fitToHeight="0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8"/>
  <sheetViews>
    <sheetView tabSelected="1" topLeftCell="A14" workbookViewId="0">
      <selection activeCell="R22" sqref="R22"/>
    </sheetView>
  </sheetViews>
  <sheetFormatPr defaultColWidth="10.2857142857143" defaultRowHeight="13.5"/>
  <cols>
    <col min="1" max="1" width="3.53333333333333" style="1" customWidth="1"/>
    <col min="2" max="2" width="4.15238095238095" style="1" customWidth="1"/>
    <col min="3" max="3" width="7.68571428571429" style="1" customWidth="1"/>
    <col min="4" max="4" width="4.99047619047619" style="1" customWidth="1"/>
    <col min="5" max="5" width="6.22857142857143" style="1" customWidth="1"/>
    <col min="6" max="6" width="9.65714285714286" style="1" customWidth="1"/>
    <col min="7" max="7" width="13.2952380952381" style="1" customWidth="1"/>
    <col min="8" max="8" width="10.2857142857143" style="1"/>
    <col min="9" max="14" width="4.87619047619048" style="1" customWidth="1"/>
    <col min="15" max="16" width="7.27619047619048" style="1" customWidth="1"/>
    <col min="17" max="16384" width="10.2857142857143" style="1"/>
  </cols>
  <sheetData>
    <row r="1" s="1" customFormat="1" ht="23.25" customHeight="1" spans="1:16">
      <c r="A1" s="2" t="s">
        <v>346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="1" customFormat="1" ht="23.25" customHeight="1" spans="1:16">
      <c r="A2" s="113" t="s">
        <v>528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="1" customFormat="1" ht="28.5" customHeight="1" spans="1:16">
      <c r="A3" s="5" t="s">
        <v>95</v>
      </c>
      <c r="B3" s="5"/>
      <c r="C3" s="5"/>
      <c r="D3" s="5"/>
      <c r="E3" s="6" t="str">
        <f>[1]普通混凝土单元!D3</f>
        <v>进水闸工程</v>
      </c>
      <c r="F3" s="6"/>
      <c r="G3" s="6"/>
      <c r="H3" s="5" t="s">
        <v>128</v>
      </c>
      <c r="I3" s="5" t="s">
        <v>129</v>
      </c>
      <c r="J3" s="5"/>
      <c r="K3" s="5"/>
      <c r="L3" s="5"/>
      <c r="M3" s="5"/>
      <c r="N3" s="5"/>
      <c r="O3" s="5"/>
      <c r="P3" s="5"/>
    </row>
    <row r="4" s="1" customFormat="1" ht="28.5" customHeight="1" spans="1:16">
      <c r="A4" s="5" t="s">
        <v>97</v>
      </c>
      <c r="B4" s="5"/>
      <c r="C4" s="5"/>
      <c r="D4" s="5"/>
      <c r="E4" s="8" t="str">
        <f>[1]普通混凝土单元!D4</f>
        <v>闸室段</v>
      </c>
      <c r="F4" s="6"/>
      <c r="G4" s="6"/>
      <c r="H4" s="5" t="s">
        <v>98</v>
      </c>
      <c r="I4" s="85" t="str">
        <f>[1]普通混凝土单元!G4</f>
        <v>四川华浩建筑工程有限公司</v>
      </c>
      <c r="J4" s="85"/>
      <c r="K4" s="85"/>
      <c r="L4" s="85"/>
      <c r="M4" s="85"/>
      <c r="N4" s="85"/>
      <c r="O4" s="85"/>
      <c r="P4" s="85"/>
    </row>
    <row r="5" s="1" customFormat="1" ht="28.5" customHeight="1" spans="1:16">
      <c r="A5" s="5" t="s">
        <v>100</v>
      </c>
      <c r="B5" s="5"/>
      <c r="C5" s="5"/>
      <c r="D5" s="5"/>
      <c r="E5" s="6" t="str">
        <f>[1]普通混凝土单元!D5</f>
        <v>2#闸墩，▽152.500～154.500m</v>
      </c>
      <c r="F5" s="6"/>
      <c r="G5" s="6"/>
      <c r="H5" s="5" t="s">
        <v>102</v>
      </c>
      <c r="I5" s="5" t="s">
        <v>352</v>
      </c>
      <c r="J5" s="5"/>
      <c r="K5" s="5"/>
      <c r="L5" s="5"/>
      <c r="M5" s="5"/>
      <c r="N5" s="5"/>
      <c r="O5" s="5"/>
      <c r="P5" s="5"/>
    </row>
    <row r="6" s="1" customFormat="1" ht="24" customHeight="1" spans="1:16">
      <c r="A6" s="5" t="s">
        <v>50</v>
      </c>
      <c r="B6" s="5"/>
      <c r="C6" s="5" t="s">
        <v>133</v>
      </c>
      <c r="D6" s="5"/>
      <c r="E6" s="5"/>
      <c r="F6" s="5"/>
      <c r="G6" s="5" t="s">
        <v>134</v>
      </c>
      <c r="H6" s="5"/>
      <c r="I6" s="7" t="s">
        <v>135</v>
      </c>
      <c r="J6" s="50"/>
      <c r="K6" s="50"/>
      <c r="L6" s="50"/>
      <c r="M6" s="50"/>
      <c r="N6" s="51"/>
      <c r="O6" s="5" t="s">
        <v>136</v>
      </c>
      <c r="P6" s="5" t="s">
        <v>137</v>
      </c>
    </row>
    <row r="7" s="1" customFormat="1" ht="42" customHeight="1" spans="1:16">
      <c r="A7" s="5" t="s">
        <v>138</v>
      </c>
      <c r="B7" s="5">
        <v>1</v>
      </c>
      <c r="C7" s="27" t="s">
        <v>529</v>
      </c>
      <c r="D7" s="27"/>
      <c r="E7" s="27"/>
      <c r="F7" s="27"/>
      <c r="G7" s="27" t="s">
        <v>530</v>
      </c>
      <c r="H7" s="27"/>
      <c r="I7" s="29" t="s">
        <v>531</v>
      </c>
      <c r="J7" s="29"/>
      <c r="K7" s="29"/>
      <c r="L7" s="29"/>
      <c r="M7" s="29"/>
      <c r="N7" s="29"/>
      <c r="O7" s="29" t="s">
        <v>129</v>
      </c>
      <c r="P7" s="58">
        <v>1</v>
      </c>
    </row>
    <row r="8" s="1" customFormat="1" ht="42" customHeight="1" spans="1:16">
      <c r="A8" s="5"/>
      <c r="B8" s="5">
        <v>2</v>
      </c>
      <c r="C8" s="27" t="s">
        <v>532</v>
      </c>
      <c r="D8" s="27"/>
      <c r="E8" s="27"/>
      <c r="F8" s="27"/>
      <c r="G8" s="27" t="s">
        <v>533</v>
      </c>
      <c r="H8" s="27"/>
      <c r="I8" s="28" t="s">
        <v>534</v>
      </c>
      <c r="J8" s="29"/>
      <c r="K8" s="29"/>
      <c r="L8" s="29"/>
      <c r="M8" s="29"/>
      <c r="N8" s="29"/>
      <c r="O8" s="29">
        <v>2</v>
      </c>
      <c r="P8" s="58">
        <v>1</v>
      </c>
    </row>
    <row r="9" s="1" customFormat="1" ht="55.5" customHeight="1" spans="1:16">
      <c r="A9" s="5"/>
      <c r="B9" s="5">
        <v>3</v>
      </c>
      <c r="C9" s="27" t="s">
        <v>535</v>
      </c>
      <c r="D9" s="27"/>
      <c r="E9" s="27"/>
      <c r="F9" s="27"/>
      <c r="G9" s="27" t="s">
        <v>536</v>
      </c>
      <c r="H9" s="27"/>
      <c r="I9" s="88" t="s">
        <v>129</v>
      </c>
      <c r="J9" s="88"/>
      <c r="K9" s="88"/>
      <c r="L9" s="88"/>
      <c r="M9" s="88"/>
      <c r="N9" s="88"/>
      <c r="O9" s="88" t="s">
        <v>129</v>
      </c>
      <c r="P9" s="89" t="s">
        <v>129</v>
      </c>
    </row>
    <row r="10" s="1" customFormat="1" ht="28.5" customHeight="1" spans="1:16">
      <c r="A10" s="5"/>
      <c r="B10" s="5" t="s">
        <v>537</v>
      </c>
      <c r="C10" s="5" t="s">
        <v>538</v>
      </c>
      <c r="D10" s="78" t="s">
        <v>539</v>
      </c>
      <c r="E10" s="78"/>
      <c r="F10" s="78"/>
      <c r="G10" s="27" t="s">
        <v>540</v>
      </c>
      <c r="H10" s="27"/>
      <c r="I10" s="88" t="s">
        <v>129</v>
      </c>
      <c r="J10" s="88"/>
      <c r="K10" s="88"/>
      <c r="L10" s="88"/>
      <c r="M10" s="88"/>
      <c r="N10" s="88"/>
      <c r="O10" s="88" t="s">
        <v>129</v>
      </c>
      <c r="P10" s="89" t="s">
        <v>129</v>
      </c>
    </row>
    <row r="11" s="1" customFormat="1" ht="28.5" customHeight="1" spans="1:16">
      <c r="A11" s="5"/>
      <c r="B11" s="5"/>
      <c r="C11" s="5"/>
      <c r="D11" s="114" t="s">
        <v>541</v>
      </c>
      <c r="E11" s="115"/>
      <c r="F11" s="116"/>
      <c r="G11" s="117" t="s">
        <v>542</v>
      </c>
      <c r="H11" s="27"/>
      <c r="I11" s="88" t="s">
        <v>129</v>
      </c>
      <c r="J11" s="88"/>
      <c r="K11" s="88"/>
      <c r="L11" s="88"/>
      <c r="M11" s="88"/>
      <c r="N11" s="88"/>
      <c r="O11" s="88" t="s">
        <v>129</v>
      </c>
      <c r="P11" s="89" t="s">
        <v>129</v>
      </c>
    </row>
    <row r="12" s="1" customFormat="1" ht="30.75" customHeight="1" spans="1:16">
      <c r="A12" s="5"/>
      <c r="B12" s="5"/>
      <c r="C12" s="5"/>
      <c r="D12" s="78" t="s">
        <v>543</v>
      </c>
      <c r="E12" s="78"/>
      <c r="F12" s="78" t="s">
        <v>544</v>
      </c>
      <c r="G12" s="27" t="s">
        <v>545</v>
      </c>
      <c r="H12" s="27"/>
      <c r="I12" s="88" t="s">
        <v>129</v>
      </c>
      <c r="J12" s="88"/>
      <c r="K12" s="88"/>
      <c r="L12" s="88"/>
      <c r="M12" s="88"/>
      <c r="N12" s="88"/>
      <c r="O12" s="88" t="s">
        <v>129</v>
      </c>
      <c r="P12" s="89" t="s">
        <v>129</v>
      </c>
    </row>
    <row r="13" s="1" customFormat="1" ht="30.75" customHeight="1" spans="1:16">
      <c r="A13" s="5"/>
      <c r="B13" s="5"/>
      <c r="C13" s="5"/>
      <c r="D13" s="78"/>
      <c r="E13" s="78"/>
      <c r="F13" s="78" t="s">
        <v>546</v>
      </c>
      <c r="G13" s="27" t="s">
        <v>547</v>
      </c>
      <c r="H13" s="27"/>
      <c r="I13" s="88" t="s">
        <v>129</v>
      </c>
      <c r="J13" s="88"/>
      <c r="K13" s="88"/>
      <c r="L13" s="88"/>
      <c r="M13" s="88"/>
      <c r="N13" s="88"/>
      <c r="O13" s="88" t="s">
        <v>129</v>
      </c>
      <c r="P13" s="89" t="s">
        <v>129</v>
      </c>
    </row>
    <row r="14" s="1" customFormat="1" ht="30.75" customHeight="1" spans="1:16">
      <c r="A14" s="5"/>
      <c r="B14" s="5"/>
      <c r="C14" s="5"/>
      <c r="D14" s="78"/>
      <c r="E14" s="78"/>
      <c r="F14" s="78" t="s">
        <v>548</v>
      </c>
      <c r="G14" s="117" t="s">
        <v>549</v>
      </c>
      <c r="H14" s="117"/>
      <c r="I14" s="88" t="s">
        <v>129</v>
      </c>
      <c r="J14" s="88"/>
      <c r="K14" s="88"/>
      <c r="L14" s="88"/>
      <c r="M14" s="88"/>
      <c r="N14" s="88"/>
      <c r="O14" s="88" t="s">
        <v>129</v>
      </c>
      <c r="P14" s="89" t="s">
        <v>129</v>
      </c>
    </row>
    <row r="15" s="1" customFormat="1" ht="30.75" customHeight="1" spans="1:16">
      <c r="A15" s="5"/>
      <c r="B15" s="5"/>
      <c r="C15" s="5" t="s">
        <v>550</v>
      </c>
      <c r="D15" s="78" t="s">
        <v>551</v>
      </c>
      <c r="E15" s="78"/>
      <c r="F15" s="78" t="s">
        <v>552</v>
      </c>
      <c r="G15" s="117" t="s">
        <v>553</v>
      </c>
      <c r="H15" s="117"/>
      <c r="I15" s="88" t="s">
        <v>129</v>
      </c>
      <c r="J15" s="88"/>
      <c r="K15" s="88"/>
      <c r="L15" s="88"/>
      <c r="M15" s="88"/>
      <c r="N15" s="88"/>
      <c r="O15" s="88" t="s">
        <v>129</v>
      </c>
      <c r="P15" s="89" t="s">
        <v>129</v>
      </c>
    </row>
    <row r="16" s="1" customFormat="1" ht="30.75" customHeight="1" spans="1:16">
      <c r="A16" s="5"/>
      <c r="B16" s="5"/>
      <c r="C16" s="5"/>
      <c r="D16" s="78"/>
      <c r="E16" s="78"/>
      <c r="F16" s="78" t="s">
        <v>554</v>
      </c>
      <c r="G16" s="117" t="s">
        <v>555</v>
      </c>
      <c r="H16" s="117"/>
      <c r="I16" s="129" t="s">
        <v>129</v>
      </c>
      <c r="J16" s="93"/>
      <c r="K16" s="93"/>
      <c r="L16" s="93"/>
      <c r="M16" s="93"/>
      <c r="N16" s="94"/>
      <c r="O16" s="88" t="s">
        <v>129</v>
      </c>
      <c r="P16" s="89" t="s">
        <v>129</v>
      </c>
    </row>
    <row r="17" s="1" customFormat="1" ht="30.75" customHeight="1" spans="1:16">
      <c r="A17" s="5"/>
      <c r="B17" s="5"/>
      <c r="C17" s="5"/>
      <c r="D17" s="78"/>
      <c r="E17" s="78"/>
      <c r="F17" s="78" t="s">
        <v>556</v>
      </c>
      <c r="G17" s="117"/>
      <c r="H17" s="117"/>
      <c r="I17" s="130"/>
      <c r="J17" s="131"/>
      <c r="K17" s="131"/>
      <c r="L17" s="131"/>
      <c r="M17" s="131"/>
      <c r="N17" s="132"/>
      <c r="O17" s="88"/>
      <c r="P17" s="89"/>
    </row>
    <row r="18" s="1" customFormat="1" ht="28.5" customHeight="1" spans="1:16">
      <c r="A18" s="5"/>
      <c r="B18" s="5"/>
      <c r="C18" s="5"/>
      <c r="D18" s="78" t="s">
        <v>557</v>
      </c>
      <c r="E18" s="78"/>
      <c r="F18" s="78"/>
      <c r="G18" s="117" t="s">
        <v>558</v>
      </c>
      <c r="H18" s="117"/>
      <c r="I18" s="88" t="s">
        <v>129</v>
      </c>
      <c r="J18" s="88"/>
      <c r="K18" s="88"/>
      <c r="L18" s="88"/>
      <c r="M18" s="88"/>
      <c r="N18" s="88"/>
      <c r="O18" s="88" t="s">
        <v>129</v>
      </c>
      <c r="P18" s="89" t="s">
        <v>129</v>
      </c>
    </row>
    <row r="19" s="1" customFormat="1" ht="42.75" customHeight="1" spans="1:16">
      <c r="A19" s="5"/>
      <c r="B19" s="5"/>
      <c r="C19" s="5"/>
      <c r="D19" s="78" t="s">
        <v>559</v>
      </c>
      <c r="E19" s="78"/>
      <c r="F19" s="78"/>
      <c r="G19" s="117" t="s">
        <v>560</v>
      </c>
      <c r="H19" s="117"/>
      <c r="I19" s="88" t="s">
        <v>129</v>
      </c>
      <c r="J19" s="88"/>
      <c r="K19" s="88"/>
      <c r="L19" s="88"/>
      <c r="M19" s="88"/>
      <c r="N19" s="88"/>
      <c r="O19" s="88" t="s">
        <v>129</v>
      </c>
      <c r="P19" s="89" t="s">
        <v>129</v>
      </c>
    </row>
    <row r="20" s="1" customFormat="1" ht="47" customHeight="1" spans="1:16">
      <c r="A20" s="5"/>
      <c r="B20" s="5"/>
      <c r="C20" s="5" t="s">
        <v>561</v>
      </c>
      <c r="D20" s="78" t="s">
        <v>562</v>
      </c>
      <c r="E20" s="78"/>
      <c r="F20" s="78"/>
      <c r="G20" s="117" t="s">
        <v>563</v>
      </c>
      <c r="H20" s="117"/>
      <c r="I20" s="28" t="s">
        <v>564</v>
      </c>
      <c r="J20" s="29"/>
      <c r="K20" s="29"/>
      <c r="L20" s="29"/>
      <c r="M20" s="29"/>
      <c r="N20" s="29"/>
      <c r="O20" s="88" t="s">
        <v>129</v>
      </c>
      <c r="P20" s="89">
        <v>1</v>
      </c>
    </row>
    <row r="21" s="1" customFormat="1" ht="28.5" customHeight="1" spans="1:16">
      <c r="A21" s="5"/>
      <c r="B21" s="5"/>
      <c r="C21" s="5"/>
      <c r="D21" s="78" t="s">
        <v>565</v>
      </c>
      <c r="E21" s="78"/>
      <c r="F21" s="78"/>
      <c r="G21" s="27" t="s">
        <v>566</v>
      </c>
      <c r="H21" s="27"/>
      <c r="I21" s="5" t="s">
        <v>567</v>
      </c>
      <c r="J21" s="88"/>
      <c r="K21" s="88"/>
      <c r="L21" s="88"/>
      <c r="M21" s="88"/>
      <c r="N21" s="88"/>
      <c r="O21" s="88" t="s">
        <v>129</v>
      </c>
      <c r="P21" s="89">
        <v>1</v>
      </c>
    </row>
    <row r="22" s="1" customFormat="1" ht="28.5" customHeight="1" spans="1:16">
      <c r="A22" s="5"/>
      <c r="B22" s="5"/>
      <c r="C22" s="5"/>
      <c r="D22" s="78" t="s">
        <v>568</v>
      </c>
      <c r="E22" s="78"/>
      <c r="F22" s="78"/>
      <c r="G22" s="13" t="s">
        <v>569</v>
      </c>
      <c r="H22" s="24" t="s">
        <v>570</v>
      </c>
      <c r="I22" s="133" t="s">
        <v>571</v>
      </c>
      <c r="J22" s="134"/>
      <c r="K22" s="134"/>
      <c r="L22" s="134"/>
      <c r="M22" s="134"/>
      <c r="N22" s="135"/>
      <c r="O22" s="97">
        <v>10</v>
      </c>
      <c r="P22" s="98">
        <v>1</v>
      </c>
    </row>
    <row r="23" s="1" customFormat="1" ht="28.5" customHeight="1" spans="1:16">
      <c r="A23" s="5"/>
      <c r="B23" s="5"/>
      <c r="C23" s="5"/>
      <c r="D23" s="78"/>
      <c r="E23" s="78"/>
      <c r="F23" s="78"/>
      <c r="G23" s="20"/>
      <c r="H23" s="21"/>
      <c r="I23" s="136"/>
      <c r="J23" s="137"/>
      <c r="K23" s="137"/>
      <c r="L23" s="137"/>
      <c r="M23" s="137"/>
      <c r="N23" s="138"/>
      <c r="O23" s="102"/>
      <c r="P23" s="103"/>
    </row>
    <row r="24" s="1" customFormat="1" spans="1:16">
      <c r="A24" s="118" t="s">
        <v>572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</row>
    <row r="25" s="1" customFormat="1" ht="22.5" customHeight="1" spans="1:16">
      <c r="A25" s="5" t="s">
        <v>50</v>
      </c>
      <c r="B25" s="5"/>
      <c r="C25" s="5" t="s">
        <v>133</v>
      </c>
      <c r="D25" s="5"/>
      <c r="E25" s="5"/>
      <c r="F25" s="5"/>
      <c r="G25" s="5" t="s">
        <v>52</v>
      </c>
      <c r="H25" s="5"/>
      <c r="I25" s="7" t="s">
        <v>573</v>
      </c>
      <c r="J25" s="50"/>
      <c r="K25" s="50"/>
      <c r="L25" s="50"/>
      <c r="M25" s="50"/>
      <c r="N25" s="51"/>
      <c r="O25" s="5" t="s">
        <v>136</v>
      </c>
      <c r="P25" s="5" t="s">
        <v>137</v>
      </c>
    </row>
    <row r="26" s="1" customFormat="1" ht="47.25" customHeight="1" spans="1:16">
      <c r="A26" s="10" t="s">
        <v>138</v>
      </c>
      <c r="B26" s="10" t="s">
        <v>537</v>
      </c>
      <c r="C26" s="5" t="s">
        <v>574</v>
      </c>
      <c r="D26" s="5" t="s">
        <v>575</v>
      </c>
      <c r="E26" s="27" t="s">
        <v>576</v>
      </c>
      <c r="F26" s="27"/>
      <c r="G26" s="78" t="s">
        <v>577</v>
      </c>
      <c r="H26" s="78"/>
      <c r="I26" s="92" t="s">
        <v>129</v>
      </c>
      <c r="J26" s="86"/>
      <c r="K26" s="86"/>
      <c r="L26" s="86"/>
      <c r="M26" s="86"/>
      <c r="N26" s="87"/>
      <c r="O26" s="88" t="s">
        <v>129</v>
      </c>
      <c r="P26" s="89" t="s">
        <v>129</v>
      </c>
    </row>
    <row r="27" s="1" customFormat="1" ht="24.75" customHeight="1" spans="1:16">
      <c r="A27" s="30"/>
      <c r="B27" s="30"/>
      <c r="C27" s="5"/>
      <c r="D27" s="5"/>
      <c r="E27" s="27" t="s">
        <v>578</v>
      </c>
      <c r="F27" s="27"/>
      <c r="G27" s="78" t="s">
        <v>579</v>
      </c>
      <c r="H27" s="78"/>
      <c r="I27" s="92" t="s">
        <v>129</v>
      </c>
      <c r="J27" s="86"/>
      <c r="K27" s="86"/>
      <c r="L27" s="86"/>
      <c r="M27" s="86"/>
      <c r="N27" s="87"/>
      <c r="O27" s="88" t="s">
        <v>129</v>
      </c>
      <c r="P27" s="89" t="s">
        <v>129</v>
      </c>
    </row>
    <row r="28" s="1" customFormat="1" ht="24.75" customHeight="1" spans="1:16">
      <c r="A28" s="30"/>
      <c r="B28" s="30"/>
      <c r="C28" s="5"/>
      <c r="D28" s="5"/>
      <c r="E28" s="27" t="s">
        <v>580</v>
      </c>
      <c r="F28" s="27"/>
      <c r="G28" s="78" t="s">
        <v>542</v>
      </c>
      <c r="H28" s="78"/>
      <c r="I28" s="92" t="s">
        <v>129</v>
      </c>
      <c r="J28" s="86"/>
      <c r="K28" s="86"/>
      <c r="L28" s="86"/>
      <c r="M28" s="86"/>
      <c r="N28" s="87"/>
      <c r="O28" s="88" t="s">
        <v>129</v>
      </c>
      <c r="P28" s="89" t="s">
        <v>129</v>
      </c>
    </row>
    <row r="29" s="1" customFormat="1" ht="24.75" customHeight="1" spans="1:16">
      <c r="A29" s="30"/>
      <c r="B29" s="30"/>
      <c r="C29" s="5"/>
      <c r="D29" s="5"/>
      <c r="E29" s="27" t="s">
        <v>581</v>
      </c>
      <c r="F29" s="27"/>
      <c r="G29" s="78" t="s">
        <v>582</v>
      </c>
      <c r="H29" s="78"/>
      <c r="I29" s="92" t="s">
        <v>129</v>
      </c>
      <c r="J29" s="86"/>
      <c r="K29" s="86"/>
      <c r="L29" s="86"/>
      <c r="M29" s="86"/>
      <c r="N29" s="87"/>
      <c r="O29" s="88" t="s">
        <v>129</v>
      </c>
      <c r="P29" s="89" t="s">
        <v>129</v>
      </c>
    </row>
    <row r="30" s="1" customFormat="1" ht="45" customHeight="1" spans="1:16">
      <c r="A30" s="30"/>
      <c r="B30" s="30"/>
      <c r="C30" s="5"/>
      <c r="D30" s="5" t="s">
        <v>583</v>
      </c>
      <c r="E30" s="27" t="s">
        <v>584</v>
      </c>
      <c r="F30" s="27"/>
      <c r="G30" s="78" t="s">
        <v>585</v>
      </c>
      <c r="H30" s="78"/>
      <c r="I30" s="7" t="s">
        <v>586</v>
      </c>
      <c r="J30" s="86"/>
      <c r="K30" s="86"/>
      <c r="L30" s="86"/>
      <c r="M30" s="86"/>
      <c r="N30" s="87"/>
      <c r="O30" s="88" t="s">
        <v>129</v>
      </c>
      <c r="P30" s="89">
        <v>1</v>
      </c>
    </row>
    <row r="31" s="1" customFormat="1" ht="32" customHeight="1" spans="1:16">
      <c r="A31" s="30"/>
      <c r="B31" s="30"/>
      <c r="C31" s="5"/>
      <c r="D31" s="5"/>
      <c r="E31" s="27" t="s">
        <v>587</v>
      </c>
      <c r="F31" s="27"/>
      <c r="G31" s="78" t="s">
        <v>588</v>
      </c>
      <c r="H31" s="78"/>
      <c r="I31" s="7" t="s">
        <v>589</v>
      </c>
      <c r="J31" s="86"/>
      <c r="K31" s="86"/>
      <c r="L31" s="86"/>
      <c r="M31" s="86"/>
      <c r="N31" s="87"/>
      <c r="O31" s="88" t="s">
        <v>129</v>
      </c>
      <c r="P31" s="89">
        <v>1</v>
      </c>
    </row>
    <row r="32" s="1" customFormat="1" ht="29" customHeight="1" spans="1:16">
      <c r="A32" s="30"/>
      <c r="B32" s="30"/>
      <c r="C32" s="5"/>
      <c r="D32" s="5"/>
      <c r="E32" s="27" t="s">
        <v>590</v>
      </c>
      <c r="F32" s="27"/>
      <c r="G32" s="78" t="s">
        <v>591</v>
      </c>
      <c r="H32" s="78"/>
      <c r="I32" s="7" t="s">
        <v>592</v>
      </c>
      <c r="J32" s="86"/>
      <c r="K32" s="86"/>
      <c r="L32" s="86"/>
      <c r="M32" s="86"/>
      <c r="N32" s="87"/>
      <c r="O32" s="88" t="s">
        <v>129</v>
      </c>
      <c r="P32" s="89">
        <v>1</v>
      </c>
    </row>
    <row r="33" s="1" customFormat="1" ht="39" customHeight="1" spans="1:16">
      <c r="A33" s="30"/>
      <c r="B33" s="17"/>
      <c r="C33" s="5"/>
      <c r="D33" s="5"/>
      <c r="E33" s="27" t="s">
        <v>593</v>
      </c>
      <c r="F33" s="27"/>
      <c r="G33" s="78" t="s">
        <v>594</v>
      </c>
      <c r="H33" s="78"/>
      <c r="I33" s="7" t="s">
        <v>595</v>
      </c>
      <c r="J33" s="86"/>
      <c r="K33" s="86"/>
      <c r="L33" s="86"/>
      <c r="M33" s="86"/>
      <c r="N33" s="87"/>
      <c r="O33" s="88" t="s">
        <v>129</v>
      </c>
      <c r="P33" s="89">
        <v>1</v>
      </c>
    </row>
    <row r="34" s="1" customFormat="1" ht="25.5" customHeight="1" spans="1:16">
      <c r="A34" s="30"/>
      <c r="B34" s="33" t="s">
        <v>596</v>
      </c>
      <c r="C34" s="119"/>
      <c r="D34" s="119"/>
      <c r="E34" s="119"/>
      <c r="F34" s="34"/>
      <c r="G34" s="78" t="s">
        <v>597</v>
      </c>
      <c r="H34" s="78"/>
      <c r="I34" s="139" t="s">
        <v>598</v>
      </c>
      <c r="J34" s="140"/>
      <c r="K34" s="140"/>
      <c r="L34" s="140"/>
      <c r="M34" s="140"/>
      <c r="N34" s="141"/>
      <c r="O34" s="29" t="s">
        <v>129</v>
      </c>
      <c r="P34" s="58">
        <v>1</v>
      </c>
    </row>
    <row r="35" s="1" customFormat="1" ht="34" customHeight="1" spans="1:16">
      <c r="A35" s="30"/>
      <c r="B35" s="11" t="s">
        <v>599</v>
      </c>
      <c r="C35" s="84"/>
      <c r="D35" s="84"/>
      <c r="E35" s="84"/>
      <c r="F35" s="12"/>
      <c r="G35" s="11" t="s">
        <v>600</v>
      </c>
      <c r="H35" s="120" t="s">
        <v>601</v>
      </c>
      <c r="I35" s="25" t="s">
        <v>602</v>
      </c>
      <c r="J35" s="140"/>
      <c r="K35" s="140"/>
      <c r="L35" s="140"/>
      <c r="M35" s="140"/>
      <c r="N35" s="141"/>
      <c r="O35" s="54">
        <v>10</v>
      </c>
      <c r="P35" s="55">
        <v>1</v>
      </c>
    </row>
    <row r="36" s="1" customFormat="1" ht="20.25" customHeight="1" spans="1:16">
      <c r="A36" s="10" t="s">
        <v>148</v>
      </c>
      <c r="B36" s="10">
        <v>1</v>
      </c>
      <c r="C36" s="11" t="s">
        <v>603</v>
      </c>
      <c r="D36" s="84"/>
      <c r="E36" s="84"/>
      <c r="F36" s="12"/>
      <c r="G36" s="13" t="s">
        <v>604</v>
      </c>
      <c r="H36" s="121" t="s">
        <v>605</v>
      </c>
      <c r="I36" s="25" t="s">
        <v>606</v>
      </c>
      <c r="J36" s="16"/>
      <c r="K36" s="16"/>
      <c r="L36" s="16"/>
      <c r="M36" s="16"/>
      <c r="N36" s="54"/>
      <c r="O36" s="54">
        <v>9</v>
      </c>
      <c r="P36" s="55">
        <v>0.9</v>
      </c>
    </row>
    <row r="37" s="1" customFormat="1" ht="45" customHeight="1" spans="1:16">
      <c r="A37" s="30"/>
      <c r="B37" s="17"/>
      <c r="C37" s="18"/>
      <c r="D37" s="122"/>
      <c r="E37" s="122"/>
      <c r="F37" s="19"/>
      <c r="G37" s="20"/>
      <c r="H37" s="43"/>
      <c r="I37" s="22"/>
      <c r="J37" s="23"/>
      <c r="K37" s="23"/>
      <c r="L37" s="23"/>
      <c r="M37" s="23"/>
      <c r="N37" s="56"/>
      <c r="O37" s="56"/>
      <c r="P37" s="57"/>
    </row>
    <row r="38" s="1" customFormat="1" ht="20.25" customHeight="1" spans="1:16">
      <c r="A38" s="30"/>
      <c r="B38" s="10">
        <v>2</v>
      </c>
      <c r="C38" s="11" t="s">
        <v>607</v>
      </c>
      <c r="D38" s="84"/>
      <c r="E38" s="12"/>
      <c r="F38" s="123" t="s">
        <v>608</v>
      </c>
      <c r="G38" s="13" t="s">
        <v>609</v>
      </c>
      <c r="H38" s="14"/>
      <c r="I38" s="142" t="s">
        <v>129</v>
      </c>
      <c r="J38" s="140"/>
      <c r="K38" s="140"/>
      <c r="L38" s="140"/>
      <c r="M38" s="140"/>
      <c r="N38" s="141"/>
      <c r="O38" s="141" t="s">
        <v>129</v>
      </c>
      <c r="P38" s="143" t="s">
        <v>129</v>
      </c>
    </row>
    <row r="39" s="1" customFormat="1" ht="20.25" customHeight="1" spans="1:16">
      <c r="A39" s="30"/>
      <c r="B39" s="30"/>
      <c r="C39" s="82"/>
      <c r="D39" s="83"/>
      <c r="E39" s="111"/>
      <c r="F39" s="124"/>
      <c r="G39" s="20"/>
      <c r="H39" s="21"/>
      <c r="I39" s="144"/>
      <c r="J39" s="145"/>
      <c r="K39" s="145"/>
      <c r="L39" s="145"/>
      <c r="M39" s="145"/>
      <c r="N39" s="146"/>
      <c r="O39" s="146"/>
      <c r="P39" s="147"/>
    </row>
    <row r="40" s="1" customFormat="1" ht="37" customHeight="1" spans="1:16">
      <c r="A40" s="30"/>
      <c r="B40" s="30"/>
      <c r="C40" s="82"/>
      <c r="D40" s="83"/>
      <c r="E40" s="111"/>
      <c r="F40" s="123" t="s">
        <v>610</v>
      </c>
      <c r="G40" s="13" t="s">
        <v>611</v>
      </c>
      <c r="H40" s="24" t="s">
        <v>612</v>
      </c>
      <c r="I40" s="25" t="s">
        <v>613</v>
      </c>
      <c r="J40" s="16"/>
      <c r="K40" s="16"/>
      <c r="L40" s="16"/>
      <c r="M40" s="16"/>
      <c r="N40" s="54"/>
      <c r="O40" s="54">
        <v>16</v>
      </c>
      <c r="P40" s="55">
        <v>0.8</v>
      </c>
    </row>
    <row r="41" s="1" customFormat="1" ht="52" customHeight="1" spans="1:16">
      <c r="A41" s="30"/>
      <c r="B41" s="17"/>
      <c r="C41" s="18"/>
      <c r="D41" s="122"/>
      <c r="E41" s="19"/>
      <c r="F41" s="124"/>
      <c r="G41" s="20"/>
      <c r="H41" s="26"/>
      <c r="I41" s="22"/>
      <c r="J41" s="23"/>
      <c r="K41" s="23"/>
      <c r="L41" s="23"/>
      <c r="M41" s="23"/>
      <c r="N41" s="56"/>
      <c r="O41" s="56"/>
      <c r="P41" s="57"/>
    </row>
    <row r="42" s="1" customFormat="1" ht="20.25" customHeight="1" spans="1:16">
      <c r="A42" s="30"/>
      <c r="B42" s="10">
        <v>3</v>
      </c>
      <c r="C42" s="11" t="s">
        <v>614</v>
      </c>
      <c r="D42" s="84"/>
      <c r="E42" s="84"/>
      <c r="F42" s="12"/>
      <c r="G42" s="11" t="s">
        <v>615</v>
      </c>
      <c r="H42" s="12"/>
      <c r="I42" s="142" t="s">
        <v>129</v>
      </c>
      <c r="J42" s="140"/>
      <c r="K42" s="140"/>
      <c r="L42" s="140"/>
      <c r="M42" s="140"/>
      <c r="N42" s="141"/>
      <c r="O42" s="141" t="s">
        <v>129</v>
      </c>
      <c r="P42" s="143" t="s">
        <v>129</v>
      </c>
    </row>
    <row r="43" s="1" customFormat="1" ht="20.25" customHeight="1" spans="1:16">
      <c r="A43" s="30"/>
      <c r="B43" s="17"/>
      <c r="C43" s="18"/>
      <c r="D43" s="122"/>
      <c r="E43" s="122"/>
      <c r="F43" s="19"/>
      <c r="G43" s="18"/>
      <c r="H43" s="19"/>
      <c r="I43" s="144"/>
      <c r="J43" s="145"/>
      <c r="K43" s="145"/>
      <c r="L43" s="145"/>
      <c r="M43" s="145"/>
      <c r="N43" s="146"/>
      <c r="O43" s="146"/>
      <c r="P43" s="147"/>
    </row>
    <row r="44" s="1" customFormat="1" ht="20.25" customHeight="1" spans="1:16">
      <c r="A44" s="30"/>
      <c r="B44" s="10">
        <v>4</v>
      </c>
      <c r="C44" s="11" t="s">
        <v>616</v>
      </c>
      <c r="D44" s="84"/>
      <c r="E44" s="84"/>
      <c r="F44" s="12"/>
      <c r="G44" s="11" t="s">
        <v>617</v>
      </c>
      <c r="H44" s="12"/>
      <c r="I44" s="142" t="s">
        <v>129</v>
      </c>
      <c r="J44" s="140"/>
      <c r="K44" s="140"/>
      <c r="L44" s="140"/>
      <c r="M44" s="140"/>
      <c r="N44" s="141"/>
      <c r="O44" s="141" t="s">
        <v>129</v>
      </c>
      <c r="P44" s="143" t="s">
        <v>129</v>
      </c>
    </row>
    <row r="45" s="1" customFormat="1" ht="20.25" customHeight="1" spans="1:16">
      <c r="A45" s="30"/>
      <c r="B45" s="17"/>
      <c r="C45" s="18"/>
      <c r="D45" s="122"/>
      <c r="E45" s="122"/>
      <c r="F45" s="19"/>
      <c r="G45" s="18"/>
      <c r="H45" s="19"/>
      <c r="I45" s="144"/>
      <c r="J45" s="145"/>
      <c r="K45" s="145"/>
      <c r="L45" s="145"/>
      <c r="M45" s="145"/>
      <c r="N45" s="146"/>
      <c r="O45" s="146"/>
      <c r="P45" s="147"/>
    </row>
    <row r="46" s="1" customFormat="1" ht="24.75" customHeight="1" spans="1:16">
      <c r="A46" s="13" t="s">
        <v>199</v>
      </c>
      <c r="B46" s="79"/>
      <c r="C46" s="11" t="s">
        <v>618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12"/>
    </row>
    <row r="47" s="1" customFormat="1" ht="17.25" customHeight="1" spans="1:16">
      <c r="A47" s="41"/>
      <c r="B47" s="42"/>
      <c r="C47" s="41" t="s">
        <v>378</v>
      </c>
      <c r="D47" s="42"/>
      <c r="E47" s="42"/>
      <c r="F47" s="42"/>
      <c r="G47" s="125" t="s">
        <v>83</v>
      </c>
      <c r="H47" s="126"/>
      <c r="I47" s="126"/>
      <c r="J47" s="126"/>
      <c r="K47" s="126"/>
      <c r="L47" s="126"/>
      <c r="M47" s="75"/>
      <c r="N47" s="75"/>
      <c r="O47" s="75"/>
      <c r="P47" s="76"/>
    </row>
    <row r="48" s="1" customFormat="1" spans="1:16">
      <c r="A48" s="41"/>
      <c r="B48" s="4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111"/>
    </row>
    <row r="49" s="1" customFormat="1" spans="1:16">
      <c r="A49" s="41"/>
      <c r="B49" s="42"/>
      <c r="C49" s="8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111"/>
    </row>
    <row r="50" s="1" customFormat="1" ht="17.25" customHeight="1" spans="1:16">
      <c r="A50" s="41"/>
      <c r="B50" s="42"/>
      <c r="C50" s="45" t="s">
        <v>118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62"/>
    </row>
    <row r="51" s="1" customFormat="1" ht="6.75" hidden="1" customHeight="1" spans="1:16">
      <c r="A51" s="41"/>
      <c r="B51" s="42"/>
      <c r="C51" s="45" t="s">
        <v>448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62"/>
    </row>
    <row r="52" s="1" customFormat="1" ht="15.75" customHeight="1" spans="1:16">
      <c r="A52" s="20"/>
      <c r="B52" s="44"/>
      <c r="C52" s="127" t="s">
        <v>619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36"/>
    </row>
    <row r="53" s="1" customFormat="1" ht="27" customHeight="1" spans="1:16">
      <c r="A53" s="5" t="s">
        <v>201</v>
      </c>
      <c r="B53" s="5"/>
      <c r="C53" s="82" t="s">
        <v>527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111"/>
    </row>
    <row r="54" s="1" customFormat="1" ht="17.25" customHeight="1" spans="1:16">
      <c r="A54" s="5"/>
      <c r="B54" s="5"/>
      <c r="C54" s="82" t="s">
        <v>620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111"/>
    </row>
    <row r="55" s="1" customFormat="1" spans="1:16">
      <c r="A55" s="5"/>
      <c r="B55" s="5"/>
      <c r="C55" s="82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111"/>
    </row>
    <row r="56" s="1" customFormat="1" spans="1:16">
      <c r="A56" s="5"/>
      <c r="B56" s="5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111"/>
    </row>
    <row r="57" s="1" customFormat="1" ht="14.25" customHeight="1" spans="1:16">
      <c r="A57" s="5"/>
      <c r="B57" s="5"/>
      <c r="C57" s="45" t="s">
        <v>621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62"/>
    </row>
    <row r="58" s="1" customFormat="1" ht="14.25" customHeight="1" spans="1:16">
      <c r="A58" s="5"/>
      <c r="B58" s="5"/>
      <c r="C58" s="47" t="s">
        <v>622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63"/>
    </row>
  </sheetData>
  <mergeCells count="155">
    <mergeCell ref="A1:P1"/>
    <mergeCell ref="A2:P2"/>
    <mergeCell ref="A3:D3"/>
    <mergeCell ref="E3:G3"/>
    <mergeCell ref="I3:P3"/>
    <mergeCell ref="A4:D4"/>
    <mergeCell ref="E4:G4"/>
    <mergeCell ref="I4:P4"/>
    <mergeCell ref="A5:D5"/>
    <mergeCell ref="E5:G5"/>
    <mergeCell ref="I5:P5"/>
    <mergeCell ref="A6:B6"/>
    <mergeCell ref="C6:F6"/>
    <mergeCell ref="G6:H6"/>
    <mergeCell ref="I6:N6"/>
    <mergeCell ref="C7:F7"/>
    <mergeCell ref="G7:H7"/>
    <mergeCell ref="I7:N7"/>
    <mergeCell ref="C8:F8"/>
    <mergeCell ref="G8:H8"/>
    <mergeCell ref="I8:N8"/>
    <mergeCell ref="C9:F9"/>
    <mergeCell ref="G9:H9"/>
    <mergeCell ref="I9:N9"/>
    <mergeCell ref="D10:F10"/>
    <mergeCell ref="G10:H10"/>
    <mergeCell ref="I10:N10"/>
    <mergeCell ref="D11:F11"/>
    <mergeCell ref="G11:H11"/>
    <mergeCell ref="I11:N11"/>
    <mergeCell ref="G12:H12"/>
    <mergeCell ref="I12:N12"/>
    <mergeCell ref="G13:H13"/>
    <mergeCell ref="I13:N13"/>
    <mergeCell ref="G14:H14"/>
    <mergeCell ref="I14:N14"/>
    <mergeCell ref="G15:H15"/>
    <mergeCell ref="I15:N15"/>
    <mergeCell ref="D18:F18"/>
    <mergeCell ref="G18:H18"/>
    <mergeCell ref="I18:N18"/>
    <mergeCell ref="D19:F19"/>
    <mergeCell ref="G19:H19"/>
    <mergeCell ref="I19:N19"/>
    <mergeCell ref="D20:F20"/>
    <mergeCell ref="G20:H20"/>
    <mergeCell ref="I20:N20"/>
    <mergeCell ref="D21:F21"/>
    <mergeCell ref="G21:H21"/>
    <mergeCell ref="I21:N21"/>
    <mergeCell ref="A24:P24"/>
    <mergeCell ref="A25:B25"/>
    <mergeCell ref="C25:F25"/>
    <mergeCell ref="G25:H25"/>
    <mergeCell ref="I25:N25"/>
    <mergeCell ref="E26:F26"/>
    <mergeCell ref="G26:H26"/>
    <mergeCell ref="I26:N26"/>
    <mergeCell ref="E27:F27"/>
    <mergeCell ref="G27:H27"/>
    <mergeCell ref="I27:N27"/>
    <mergeCell ref="E28:F28"/>
    <mergeCell ref="G28:H28"/>
    <mergeCell ref="I28:N28"/>
    <mergeCell ref="E29:F29"/>
    <mergeCell ref="G29:H29"/>
    <mergeCell ref="I29:N29"/>
    <mergeCell ref="E30:F30"/>
    <mergeCell ref="G30:H30"/>
    <mergeCell ref="I30:N30"/>
    <mergeCell ref="E31:F31"/>
    <mergeCell ref="G31:H31"/>
    <mergeCell ref="I31:N31"/>
    <mergeCell ref="E32:F32"/>
    <mergeCell ref="G32:H32"/>
    <mergeCell ref="I32:N32"/>
    <mergeCell ref="E33:F33"/>
    <mergeCell ref="G33:H33"/>
    <mergeCell ref="I33:N33"/>
    <mergeCell ref="B34:F34"/>
    <mergeCell ref="G34:H34"/>
    <mergeCell ref="I34:N34"/>
    <mergeCell ref="B35:F35"/>
    <mergeCell ref="I35:N35"/>
    <mergeCell ref="C46:P46"/>
    <mergeCell ref="C47:F47"/>
    <mergeCell ref="G47:L47"/>
    <mergeCell ref="C48:P48"/>
    <mergeCell ref="C49:P49"/>
    <mergeCell ref="C50:P50"/>
    <mergeCell ref="C51:P51"/>
    <mergeCell ref="C52:P52"/>
    <mergeCell ref="C53:P53"/>
    <mergeCell ref="C54:P54"/>
    <mergeCell ref="C55:P55"/>
    <mergeCell ref="C56:P56"/>
    <mergeCell ref="C57:P57"/>
    <mergeCell ref="C58:P58"/>
    <mergeCell ref="A7:A23"/>
    <mergeCell ref="A26:A35"/>
    <mergeCell ref="A36:A45"/>
    <mergeCell ref="B10:B23"/>
    <mergeCell ref="B26:B33"/>
    <mergeCell ref="B36:B37"/>
    <mergeCell ref="B38:B41"/>
    <mergeCell ref="B42:B43"/>
    <mergeCell ref="B44:B45"/>
    <mergeCell ref="C10:C14"/>
    <mergeCell ref="C15:C19"/>
    <mergeCell ref="C20:C23"/>
    <mergeCell ref="C26:C33"/>
    <mergeCell ref="D26:D29"/>
    <mergeCell ref="D30:D33"/>
    <mergeCell ref="F38:F39"/>
    <mergeCell ref="F40:F41"/>
    <mergeCell ref="G22:G23"/>
    <mergeCell ref="G36:G37"/>
    <mergeCell ref="G40:G41"/>
    <mergeCell ref="H22:H23"/>
    <mergeCell ref="H36:H37"/>
    <mergeCell ref="H40:H41"/>
    <mergeCell ref="O16:O17"/>
    <mergeCell ref="O22:O23"/>
    <mergeCell ref="O36:O37"/>
    <mergeCell ref="O38:O39"/>
    <mergeCell ref="O40:O41"/>
    <mergeCell ref="O42:O43"/>
    <mergeCell ref="O44:O45"/>
    <mergeCell ref="P16:P17"/>
    <mergeCell ref="P22:P23"/>
    <mergeCell ref="P36:P37"/>
    <mergeCell ref="P38:P39"/>
    <mergeCell ref="P40:P41"/>
    <mergeCell ref="P42:P43"/>
    <mergeCell ref="P44:P45"/>
    <mergeCell ref="D12:E14"/>
    <mergeCell ref="D15:E17"/>
    <mergeCell ref="G16:H17"/>
    <mergeCell ref="I16:N17"/>
    <mergeCell ref="D22:F23"/>
    <mergeCell ref="I22:N23"/>
    <mergeCell ref="C36:F37"/>
    <mergeCell ref="I36:N37"/>
    <mergeCell ref="C38:E41"/>
    <mergeCell ref="G38:H39"/>
    <mergeCell ref="I38:N39"/>
    <mergeCell ref="I40:N41"/>
    <mergeCell ref="C42:F43"/>
    <mergeCell ref="G42:H43"/>
    <mergeCell ref="I42:N43"/>
    <mergeCell ref="C44:F45"/>
    <mergeCell ref="G44:H45"/>
    <mergeCell ref="I44:N45"/>
    <mergeCell ref="A46:B52"/>
    <mergeCell ref="A53:B58"/>
  </mergeCells>
  <pageMargins left="0.75" right="0.75" top="1" bottom="1" header="0.5" footer="0.5"/>
  <pageSetup paperSize="9" scale="93" fitToHeight="0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7"/>
  <sheetViews>
    <sheetView topLeftCell="A29" workbookViewId="0">
      <selection activeCell="S37" sqref="S37"/>
    </sheetView>
  </sheetViews>
  <sheetFormatPr defaultColWidth="10.2857142857143" defaultRowHeight="13.5"/>
  <cols>
    <col min="1" max="2" width="3.53333333333333" style="1" customWidth="1"/>
    <col min="3" max="3" width="3.84761904761905" style="1" customWidth="1"/>
    <col min="4" max="4" width="6.57142857142857" style="1" customWidth="1"/>
    <col min="5" max="5" width="8.14285714285714" style="1" customWidth="1"/>
    <col min="6" max="6" width="9.85714285714286" style="1" customWidth="1"/>
    <col min="7" max="8" width="10.2857142857143" style="1"/>
    <col min="9" max="9" width="6.42857142857143" style="1" customWidth="1"/>
    <col min="10" max="12" width="3.84761904761905" style="1" customWidth="1"/>
    <col min="13" max="13" width="7.14285714285714" style="1" customWidth="1"/>
    <col min="14" max="14" width="8" style="1" customWidth="1"/>
    <col min="15" max="16" width="6.01904761904762" style="1" customWidth="1"/>
    <col min="17" max="16384" width="10.2857142857143" style="1"/>
  </cols>
  <sheetData>
    <row r="1" s="1" customFormat="1" ht="22.5" customHeight="1" spans="1:16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22.5" customHeight="1" spans="1:16">
      <c r="A2" s="4" t="s">
        <v>623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24.75" customHeight="1" spans="1:16">
      <c r="A3" s="5" t="s">
        <v>95</v>
      </c>
      <c r="B3" s="5"/>
      <c r="C3" s="5"/>
      <c r="D3" s="5"/>
      <c r="E3" s="6" t="str">
        <f>[1]普通混凝土单元!D3</f>
        <v>进水闸工程</v>
      </c>
      <c r="F3" s="6"/>
      <c r="G3" s="6"/>
      <c r="H3" s="5" t="s">
        <v>128</v>
      </c>
      <c r="I3" s="5" t="s">
        <v>129</v>
      </c>
      <c r="J3" s="5"/>
      <c r="K3" s="5"/>
      <c r="L3" s="5"/>
      <c r="M3" s="5"/>
      <c r="N3" s="5"/>
      <c r="O3" s="5"/>
      <c r="P3" s="5"/>
    </row>
    <row r="4" s="1" customFormat="1" ht="25.5" customHeight="1" spans="1:16">
      <c r="A4" s="5" t="s">
        <v>97</v>
      </c>
      <c r="B4" s="5"/>
      <c r="C4" s="5"/>
      <c r="D4" s="5"/>
      <c r="E4" s="8" t="str">
        <f>[1]普通混凝土单元!D4</f>
        <v>闸室段</v>
      </c>
      <c r="F4" s="6"/>
      <c r="G4" s="6"/>
      <c r="H4" s="5" t="s">
        <v>98</v>
      </c>
      <c r="I4" s="85" t="str">
        <f>[1]普通混凝土单元!G4</f>
        <v>四川华浩建筑工程有限公司</v>
      </c>
      <c r="J4" s="85"/>
      <c r="K4" s="85"/>
      <c r="L4" s="85"/>
      <c r="M4" s="85"/>
      <c r="N4" s="85"/>
      <c r="O4" s="85"/>
      <c r="P4" s="85"/>
    </row>
    <row r="5" s="1" customFormat="1" ht="28.5" customHeight="1" spans="1:16">
      <c r="A5" s="5" t="s">
        <v>100</v>
      </c>
      <c r="B5" s="5"/>
      <c r="C5" s="5"/>
      <c r="D5" s="5"/>
      <c r="E5" s="6" t="str">
        <f>[1]普通混凝土单元!D5</f>
        <v>2#闸墩，▽152.500～154.500m</v>
      </c>
      <c r="F5" s="6"/>
      <c r="G5" s="6"/>
      <c r="H5" s="5" t="s">
        <v>102</v>
      </c>
      <c r="I5" s="7" t="s">
        <v>438</v>
      </c>
      <c r="J5" s="50"/>
      <c r="K5" s="50"/>
      <c r="L5" s="50"/>
      <c r="M5" s="50"/>
      <c r="N5" s="50"/>
      <c r="O5" s="50"/>
      <c r="P5" s="51"/>
    </row>
    <row r="6" s="1" customFormat="1" spans="1:16">
      <c r="A6" s="5" t="s">
        <v>50</v>
      </c>
      <c r="B6" s="5"/>
      <c r="C6" s="5"/>
      <c r="D6" s="5" t="s">
        <v>133</v>
      </c>
      <c r="E6" s="5"/>
      <c r="F6" s="5"/>
      <c r="G6" s="5" t="s">
        <v>134</v>
      </c>
      <c r="H6" s="5"/>
      <c r="I6" s="5"/>
      <c r="J6" s="7" t="s">
        <v>135</v>
      </c>
      <c r="K6" s="50"/>
      <c r="L6" s="50"/>
      <c r="M6" s="50"/>
      <c r="N6" s="51"/>
      <c r="O6" s="81" t="s">
        <v>136</v>
      </c>
      <c r="P6" s="5" t="s">
        <v>137</v>
      </c>
    </row>
    <row r="7" s="1" customFormat="1" ht="34.5" customHeight="1" spans="1:16">
      <c r="A7" s="5" t="s">
        <v>624</v>
      </c>
      <c r="B7" s="5" t="s">
        <v>138</v>
      </c>
      <c r="C7" s="5">
        <v>1</v>
      </c>
      <c r="D7" s="27" t="s">
        <v>625</v>
      </c>
      <c r="E7" s="27"/>
      <c r="F7" s="27"/>
      <c r="G7" s="78" t="s">
        <v>626</v>
      </c>
      <c r="H7" s="78"/>
      <c r="I7" s="78"/>
      <c r="J7" s="7" t="s">
        <v>627</v>
      </c>
      <c r="K7" s="86"/>
      <c r="L7" s="86"/>
      <c r="M7" s="86"/>
      <c r="N7" s="87"/>
      <c r="O7" s="88" t="s">
        <v>129</v>
      </c>
      <c r="P7" s="89">
        <v>1</v>
      </c>
    </row>
    <row r="8" s="1" customFormat="1" ht="44" customHeight="1" spans="1:16">
      <c r="A8" s="5"/>
      <c r="B8" s="5"/>
      <c r="C8" s="5">
        <v>2</v>
      </c>
      <c r="D8" s="27" t="s">
        <v>628</v>
      </c>
      <c r="E8" s="27"/>
      <c r="F8" s="27"/>
      <c r="G8" s="78" t="s">
        <v>629</v>
      </c>
      <c r="H8" s="78"/>
      <c r="I8" s="78"/>
      <c r="J8" s="7" t="s">
        <v>630</v>
      </c>
      <c r="K8" s="86"/>
      <c r="L8" s="86"/>
      <c r="M8" s="86"/>
      <c r="N8" s="87"/>
      <c r="O8" s="88" t="s">
        <v>129</v>
      </c>
      <c r="P8" s="89">
        <v>1</v>
      </c>
    </row>
    <row r="9" s="1" customFormat="1" ht="30" customHeight="1" spans="1:16">
      <c r="A9" s="5"/>
      <c r="B9" s="5"/>
      <c r="C9" s="5">
        <v>3</v>
      </c>
      <c r="D9" s="27" t="s">
        <v>631</v>
      </c>
      <c r="E9" s="27"/>
      <c r="F9" s="27"/>
      <c r="G9" s="78" t="s">
        <v>344</v>
      </c>
      <c r="H9" s="78"/>
      <c r="I9" s="78"/>
      <c r="J9" s="7" t="s">
        <v>632</v>
      </c>
      <c r="K9" s="86"/>
      <c r="L9" s="86"/>
      <c r="M9" s="86"/>
      <c r="N9" s="87"/>
      <c r="O9" s="90">
        <v>2</v>
      </c>
      <c r="P9" s="91">
        <v>1</v>
      </c>
    </row>
    <row r="10" s="1" customFormat="1" ht="41.25" customHeight="1" spans="1:16">
      <c r="A10" s="5"/>
      <c r="B10" s="5"/>
      <c r="C10" s="5">
        <v>4</v>
      </c>
      <c r="D10" s="27" t="s">
        <v>633</v>
      </c>
      <c r="E10" s="27"/>
      <c r="F10" s="27"/>
      <c r="G10" s="78" t="s">
        <v>634</v>
      </c>
      <c r="H10" s="78"/>
      <c r="I10" s="78"/>
      <c r="J10" s="92" t="s">
        <v>129</v>
      </c>
      <c r="K10" s="86"/>
      <c r="L10" s="86"/>
      <c r="M10" s="86"/>
      <c r="N10" s="87"/>
      <c r="O10" s="88" t="s">
        <v>129</v>
      </c>
      <c r="P10" s="89" t="s">
        <v>129</v>
      </c>
    </row>
    <row r="11" s="1" customFormat="1" ht="24" customHeight="1" spans="1:16">
      <c r="A11" s="5"/>
      <c r="B11" s="5"/>
      <c r="C11" s="5">
        <v>5</v>
      </c>
      <c r="D11" s="27" t="s">
        <v>635</v>
      </c>
      <c r="E11" s="27"/>
      <c r="F11" s="27"/>
      <c r="G11" s="78" t="s">
        <v>636</v>
      </c>
      <c r="H11" s="78"/>
      <c r="I11" s="78"/>
      <c r="J11" s="13" t="s">
        <v>637</v>
      </c>
      <c r="K11" s="93"/>
      <c r="L11" s="93"/>
      <c r="M11" s="93"/>
      <c r="N11" s="94"/>
      <c r="O11" s="88" t="s">
        <v>129</v>
      </c>
      <c r="P11" s="89" t="s">
        <v>129</v>
      </c>
    </row>
    <row r="12" s="1" customFormat="1" ht="21" customHeight="1" spans="1:16">
      <c r="A12" s="5"/>
      <c r="B12" s="5" t="s">
        <v>148</v>
      </c>
      <c r="C12" s="10">
        <v>1</v>
      </c>
      <c r="D12" s="13" t="s">
        <v>638</v>
      </c>
      <c r="E12" s="14"/>
      <c r="F12" s="10" t="s">
        <v>639</v>
      </c>
      <c r="G12" s="13" t="s">
        <v>388</v>
      </c>
      <c r="H12" s="79"/>
      <c r="I12" s="79"/>
      <c r="J12" s="95" t="s">
        <v>640</v>
      </c>
      <c r="K12" s="96"/>
      <c r="L12" s="96"/>
      <c r="M12" s="96"/>
      <c r="N12" s="97"/>
      <c r="O12" s="97">
        <v>5</v>
      </c>
      <c r="P12" s="98">
        <v>1</v>
      </c>
    </row>
    <row r="13" s="1" customFormat="1" ht="21" customHeight="1" spans="1:16">
      <c r="A13" s="5"/>
      <c r="B13" s="5"/>
      <c r="C13" s="30"/>
      <c r="D13" s="41"/>
      <c r="E13" s="61"/>
      <c r="F13" s="17"/>
      <c r="G13" s="20"/>
      <c r="H13" s="44"/>
      <c r="I13" s="44"/>
      <c r="J13" s="99"/>
      <c r="K13" s="100"/>
      <c r="L13" s="100"/>
      <c r="M13" s="100"/>
      <c r="N13" s="101"/>
      <c r="O13" s="102"/>
      <c r="P13" s="103"/>
    </row>
    <row r="14" s="1" customFormat="1" ht="18.75" customHeight="1" spans="1:16">
      <c r="A14" s="5"/>
      <c r="B14" s="5"/>
      <c r="C14" s="30"/>
      <c r="D14" s="41"/>
      <c r="E14" s="61"/>
      <c r="F14" s="10" t="s">
        <v>641</v>
      </c>
      <c r="G14" s="13" t="s">
        <v>642</v>
      </c>
      <c r="H14" s="79"/>
      <c r="I14" s="79"/>
      <c r="J14" s="95" t="s">
        <v>643</v>
      </c>
      <c r="K14" s="96"/>
      <c r="L14" s="96"/>
      <c r="M14" s="96"/>
      <c r="N14" s="97"/>
      <c r="O14" s="97">
        <v>5</v>
      </c>
      <c r="P14" s="98">
        <v>1</v>
      </c>
    </row>
    <row r="15" s="1" customFormat="1" ht="18.75" customHeight="1" spans="1:16">
      <c r="A15" s="5"/>
      <c r="B15" s="5"/>
      <c r="C15" s="30"/>
      <c r="D15" s="41"/>
      <c r="E15" s="61"/>
      <c r="F15" s="17"/>
      <c r="G15" s="20"/>
      <c r="H15" s="44"/>
      <c r="I15" s="44"/>
      <c r="J15" s="99"/>
      <c r="K15" s="100"/>
      <c r="L15" s="100"/>
      <c r="M15" s="100"/>
      <c r="N15" s="101"/>
      <c r="O15" s="102"/>
      <c r="P15" s="103"/>
    </row>
    <row r="16" s="1" customFormat="1" ht="18.75" customHeight="1" spans="1:16">
      <c r="A16" s="5"/>
      <c r="B16" s="5"/>
      <c r="C16" s="30"/>
      <c r="D16" s="41"/>
      <c r="E16" s="61"/>
      <c r="F16" s="10" t="s">
        <v>644</v>
      </c>
      <c r="G16" s="13" t="s">
        <v>415</v>
      </c>
      <c r="H16" s="79"/>
      <c r="I16" s="79"/>
      <c r="J16" s="92" t="s">
        <v>129</v>
      </c>
      <c r="K16" s="86"/>
      <c r="L16" s="86"/>
      <c r="M16" s="86"/>
      <c r="N16" s="87"/>
      <c r="O16" s="88" t="s">
        <v>129</v>
      </c>
      <c r="P16" s="89" t="s">
        <v>129</v>
      </c>
    </row>
    <row r="17" s="1" customFormat="1" ht="18.75" customHeight="1" spans="1:16">
      <c r="A17" s="5"/>
      <c r="B17" s="5"/>
      <c r="C17" s="17"/>
      <c r="D17" s="20"/>
      <c r="E17" s="21"/>
      <c r="F17" s="17"/>
      <c r="G17" s="20"/>
      <c r="H17" s="44"/>
      <c r="I17" s="44"/>
      <c r="J17" s="92" t="s">
        <v>129</v>
      </c>
      <c r="K17" s="86"/>
      <c r="L17" s="86"/>
      <c r="M17" s="86"/>
      <c r="N17" s="87"/>
      <c r="O17" s="88" t="s">
        <v>129</v>
      </c>
      <c r="P17" s="89" t="s">
        <v>129</v>
      </c>
    </row>
    <row r="18" s="1" customFormat="1" ht="34.5" customHeight="1" spans="1:16">
      <c r="A18" s="5"/>
      <c r="B18" s="5"/>
      <c r="C18" s="5">
        <v>2</v>
      </c>
      <c r="D18" s="78" t="s">
        <v>568</v>
      </c>
      <c r="E18" s="78"/>
      <c r="F18" s="5" t="s">
        <v>645</v>
      </c>
      <c r="G18" s="78" t="s">
        <v>646</v>
      </c>
      <c r="H18" s="78"/>
      <c r="I18" s="78"/>
      <c r="J18" s="31" t="s">
        <v>647</v>
      </c>
      <c r="K18" s="104"/>
      <c r="L18" s="104"/>
      <c r="M18" s="104"/>
      <c r="N18" s="102"/>
      <c r="O18" s="90">
        <v>8</v>
      </c>
      <c r="P18" s="91">
        <v>1</v>
      </c>
    </row>
    <row r="19" s="1" customFormat="1" ht="34.5" customHeight="1" spans="1:16">
      <c r="A19" s="5"/>
      <c r="B19" s="5"/>
      <c r="C19" s="5"/>
      <c r="D19" s="78"/>
      <c r="E19" s="78"/>
      <c r="F19" s="5" t="s">
        <v>648</v>
      </c>
      <c r="G19" s="78" t="s">
        <v>649</v>
      </c>
      <c r="H19" s="78"/>
      <c r="I19" s="78"/>
      <c r="J19" s="92" t="s">
        <v>129</v>
      </c>
      <c r="K19" s="86"/>
      <c r="L19" s="86"/>
      <c r="M19" s="86"/>
      <c r="N19" s="87"/>
      <c r="O19" s="88" t="s">
        <v>129</v>
      </c>
      <c r="P19" s="89" t="s">
        <v>129</v>
      </c>
    </row>
    <row r="20" s="1" customFormat="1" ht="51" customHeight="1" spans="1:16">
      <c r="A20" s="5"/>
      <c r="B20" s="5"/>
      <c r="C20" s="5"/>
      <c r="D20" s="78"/>
      <c r="E20" s="78"/>
      <c r="F20" s="5" t="s">
        <v>650</v>
      </c>
      <c r="G20" s="78" t="s">
        <v>651</v>
      </c>
      <c r="H20" s="78"/>
      <c r="I20" s="78"/>
      <c r="J20" s="92" t="s">
        <v>129</v>
      </c>
      <c r="K20" s="86"/>
      <c r="L20" s="86"/>
      <c r="M20" s="86"/>
      <c r="N20" s="87"/>
      <c r="O20" s="88" t="s">
        <v>129</v>
      </c>
      <c r="P20" s="89" t="s">
        <v>129</v>
      </c>
    </row>
    <row r="21" s="1" customFormat="1" ht="34.5" customHeight="1" spans="1:16">
      <c r="A21" s="5"/>
      <c r="B21" s="5"/>
      <c r="C21" s="5">
        <v>3</v>
      </c>
      <c r="D21" s="27" t="s">
        <v>652</v>
      </c>
      <c r="E21" s="27"/>
      <c r="F21" s="27"/>
      <c r="G21" s="27" t="s">
        <v>388</v>
      </c>
      <c r="H21" s="27"/>
      <c r="I21" s="27"/>
      <c r="J21" s="105" t="s">
        <v>653</v>
      </c>
      <c r="K21" s="106"/>
      <c r="L21" s="106"/>
      <c r="M21" s="106"/>
      <c r="N21" s="107"/>
      <c r="O21" s="90">
        <v>9</v>
      </c>
      <c r="P21" s="91">
        <v>0.9</v>
      </c>
    </row>
    <row r="22" s="1" customFormat="1" ht="51" customHeight="1" spans="1:16">
      <c r="A22" s="80" t="s">
        <v>654</v>
      </c>
      <c r="B22" s="5" t="s">
        <v>138</v>
      </c>
      <c r="C22" s="5">
        <v>1</v>
      </c>
      <c r="D22" s="27" t="s">
        <v>655</v>
      </c>
      <c r="E22" s="27"/>
      <c r="F22" s="27"/>
      <c r="G22" s="27" t="s">
        <v>656</v>
      </c>
      <c r="H22" s="27"/>
      <c r="I22" s="27"/>
      <c r="J22" s="7" t="s">
        <v>657</v>
      </c>
      <c r="K22" s="86"/>
      <c r="L22" s="86"/>
      <c r="M22" s="86"/>
      <c r="N22" s="87"/>
      <c r="O22" s="88" t="s">
        <v>129</v>
      </c>
      <c r="P22" s="89">
        <v>1</v>
      </c>
    </row>
    <row r="23" s="1" customFormat="1" ht="41.25" customHeight="1" spans="1:16">
      <c r="A23" s="80"/>
      <c r="B23" s="5" t="s">
        <v>148</v>
      </c>
      <c r="C23" s="5">
        <v>1</v>
      </c>
      <c r="D23" s="27" t="s">
        <v>658</v>
      </c>
      <c r="E23" s="27"/>
      <c r="F23" s="27"/>
      <c r="G23" s="27" t="s">
        <v>659</v>
      </c>
      <c r="H23" s="27"/>
      <c r="I23" s="27"/>
      <c r="J23" s="92" t="s">
        <v>129</v>
      </c>
      <c r="K23" s="86"/>
      <c r="L23" s="86"/>
      <c r="M23" s="86"/>
      <c r="N23" s="87"/>
      <c r="O23" s="88" t="s">
        <v>129</v>
      </c>
      <c r="P23" s="88" t="s">
        <v>129</v>
      </c>
    </row>
    <row r="24" s="1" customFormat="1" ht="41.25" customHeight="1" spans="1:16">
      <c r="A24" s="80"/>
      <c r="B24" s="5"/>
      <c r="C24" s="5">
        <v>2</v>
      </c>
      <c r="D24" s="27" t="s">
        <v>660</v>
      </c>
      <c r="E24" s="27"/>
      <c r="F24" s="27"/>
      <c r="G24" s="27" t="s">
        <v>661</v>
      </c>
      <c r="H24" s="27"/>
      <c r="I24" s="27"/>
      <c r="J24" s="92" t="s">
        <v>129</v>
      </c>
      <c r="K24" s="86"/>
      <c r="L24" s="86"/>
      <c r="M24" s="86"/>
      <c r="N24" s="87"/>
      <c r="O24" s="88" t="s">
        <v>129</v>
      </c>
      <c r="P24" s="88" t="s">
        <v>129</v>
      </c>
    </row>
    <row r="25" s="1" customFormat="1" ht="52.5" customHeight="1" spans="1:16">
      <c r="A25" s="80"/>
      <c r="B25" s="5"/>
      <c r="C25" s="5">
        <v>3</v>
      </c>
      <c r="D25" s="27" t="s">
        <v>662</v>
      </c>
      <c r="E25" s="27"/>
      <c r="F25" s="27"/>
      <c r="G25" s="27" t="s">
        <v>663</v>
      </c>
      <c r="H25" s="27"/>
      <c r="I25" s="27"/>
      <c r="J25" s="7" t="s">
        <v>664</v>
      </c>
      <c r="K25" s="86"/>
      <c r="L25" s="86"/>
      <c r="M25" s="86"/>
      <c r="N25" s="87"/>
      <c r="O25" s="88" t="s">
        <v>129</v>
      </c>
      <c r="P25" s="89">
        <v>0.7</v>
      </c>
    </row>
    <row r="26" s="1" customFormat="1" ht="15" customHeight="1" spans="1:16">
      <c r="A26" s="49"/>
      <c r="B26" s="49"/>
      <c r="C26" s="49"/>
      <c r="D26" s="49"/>
      <c r="E26" s="49"/>
      <c r="F26" s="49"/>
      <c r="G26" s="49"/>
      <c r="H26" s="49"/>
      <c r="I26" s="49"/>
      <c r="J26" s="108"/>
      <c r="K26" s="108"/>
      <c r="L26" s="108"/>
      <c r="M26" s="108"/>
      <c r="N26" s="108"/>
      <c r="O26" s="109" t="s">
        <v>665</v>
      </c>
      <c r="P26" s="109"/>
    </row>
    <row r="27" s="1" customFormat="1" ht="23.25" customHeight="1" spans="1:16">
      <c r="A27" s="5" t="s">
        <v>50</v>
      </c>
      <c r="B27" s="5"/>
      <c r="C27" s="5"/>
      <c r="D27" s="5" t="s">
        <v>133</v>
      </c>
      <c r="E27" s="5"/>
      <c r="F27" s="5"/>
      <c r="G27" s="7" t="s">
        <v>52</v>
      </c>
      <c r="H27" s="50"/>
      <c r="I27" s="51"/>
      <c r="J27" s="92" t="s">
        <v>135</v>
      </c>
      <c r="K27" s="86"/>
      <c r="L27" s="86"/>
      <c r="M27" s="86"/>
      <c r="N27" s="87"/>
      <c r="O27" s="88" t="s">
        <v>136</v>
      </c>
      <c r="P27" s="88" t="s">
        <v>137</v>
      </c>
    </row>
    <row r="28" s="1" customFormat="1" ht="79.5" customHeight="1" spans="1:16">
      <c r="A28" s="5" t="s">
        <v>666</v>
      </c>
      <c r="B28" s="5" t="s">
        <v>138</v>
      </c>
      <c r="C28" s="5">
        <v>1</v>
      </c>
      <c r="D28" s="5" t="s">
        <v>667</v>
      </c>
      <c r="E28" s="5"/>
      <c r="F28" s="5"/>
      <c r="G28" s="7" t="s">
        <v>668</v>
      </c>
      <c r="H28" s="50"/>
      <c r="I28" s="51"/>
      <c r="J28" s="7" t="s">
        <v>669</v>
      </c>
      <c r="K28" s="86"/>
      <c r="L28" s="86"/>
      <c r="M28" s="86"/>
      <c r="N28" s="87"/>
      <c r="O28" s="88" t="s">
        <v>129</v>
      </c>
      <c r="P28" s="89">
        <v>1</v>
      </c>
    </row>
    <row r="29" s="1" customFormat="1" ht="29" customHeight="1" spans="1:16">
      <c r="A29" s="5"/>
      <c r="B29" s="5"/>
      <c r="C29" s="5">
        <v>2</v>
      </c>
      <c r="D29" s="5" t="s">
        <v>670</v>
      </c>
      <c r="E29" s="5"/>
      <c r="F29" s="5"/>
      <c r="G29" s="7" t="s">
        <v>671</v>
      </c>
      <c r="H29" s="50"/>
      <c r="I29" s="51"/>
      <c r="J29" s="7" t="s">
        <v>672</v>
      </c>
      <c r="K29" s="86"/>
      <c r="L29" s="86"/>
      <c r="M29" s="86"/>
      <c r="N29" s="87"/>
      <c r="O29" s="88" t="s">
        <v>129</v>
      </c>
      <c r="P29" s="89">
        <v>1</v>
      </c>
    </row>
    <row r="30" s="1" customFormat="1" ht="18.75" customHeight="1" spans="1:16">
      <c r="A30" s="5"/>
      <c r="B30" s="5" t="s">
        <v>148</v>
      </c>
      <c r="C30" s="5">
        <v>1</v>
      </c>
      <c r="D30" s="5" t="s">
        <v>673</v>
      </c>
      <c r="E30" s="5"/>
      <c r="F30" s="5"/>
      <c r="G30" s="7" t="s">
        <v>674</v>
      </c>
      <c r="H30" s="50"/>
      <c r="I30" s="51"/>
      <c r="J30" s="105" t="s">
        <v>675</v>
      </c>
      <c r="K30" s="106"/>
      <c r="L30" s="106"/>
      <c r="M30" s="106"/>
      <c r="N30" s="107"/>
      <c r="O30" s="90">
        <v>10</v>
      </c>
      <c r="P30" s="91">
        <v>1</v>
      </c>
    </row>
    <row r="31" s="1" customFormat="1" ht="27" customHeight="1" spans="1:16">
      <c r="A31" s="5"/>
      <c r="B31" s="5"/>
      <c r="C31" s="5">
        <v>2</v>
      </c>
      <c r="D31" s="5" t="s">
        <v>676</v>
      </c>
      <c r="E31" s="5"/>
      <c r="F31" s="5"/>
      <c r="G31" s="7" t="s">
        <v>677</v>
      </c>
      <c r="H31" s="50"/>
      <c r="I31" s="51"/>
      <c r="J31" s="105" t="s">
        <v>678</v>
      </c>
      <c r="K31" s="106"/>
      <c r="L31" s="106"/>
      <c r="M31" s="106"/>
      <c r="N31" s="107"/>
      <c r="O31" s="90">
        <v>10</v>
      </c>
      <c r="P31" s="91">
        <v>1</v>
      </c>
    </row>
    <row r="32" s="1" customFormat="1" ht="21.75" customHeight="1" spans="1:16">
      <c r="A32" s="5"/>
      <c r="B32" s="5"/>
      <c r="C32" s="5">
        <v>3</v>
      </c>
      <c r="D32" s="5" t="s">
        <v>679</v>
      </c>
      <c r="E32" s="5" t="s">
        <v>680</v>
      </c>
      <c r="F32" s="81" t="s">
        <v>681</v>
      </c>
      <c r="G32" s="7" t="s">
        <v>682</v>
      </c>
      <c r="H32" s="50"/>
      <c r="I32" s="51"/>
      <c r="J32" s="92" t="s">
        <v>129</v>
      </c>
      <c r="K32" s="86"/>
      <c r="L32" s="86"/>
      <c r="M32" s="86"/>
      <c r="N32" s="87"/>
      <c r="O32" s="88" t="s">
        <v>129</v>
      </c>
      <c r="P32" s="89" t="s">
        <v>129</v>
      </c>
    </row>
    <row r="33" s="1" customFormat="1" ht="21.75" customHeight="1" spans="1:16">
      <c r="A33" s="5"/>
      <c r="B33" s="5"/>
      <c r="C33" s="5"/>
      <c r="D33" s="5"/>
      <c r="E33" s="5"/>
      <c r="F33" s="81" t="s">
        <v>683</v>
      </c>
      <c r="G33" s="7" t="s">
        <v>684</v>
      </c>
      <c r="H33" s="50"/>
      <c r="I33" s="51"/>
      <c r="J33" s="105" t="s">
        <v>675</v>
      </c>
      <c r="K33" s="106"/>
      <c r="L33" s="106"/>
      <c r="M33" s="106"/>
      <c r="N33" s="107"/>
      <c r="O33" s="90">
        <v>9</v>
      </c>
      <c r="P33" s="91">
        <v>0.9</v>
      </c>
    </row>
    <row r="34" s="1" customFormat="1" ht="29" customHeight="1" spans="1:16">
      <c r="A34" s="5"/>
      <c r="B34" s="5"/>
      <c r="C34" s="5"/>
      <c r="D34" s="5"/>
      <c r="E34" s="5" t="s">
        <v>685</v>
      </c>
      <c r="F34" s="5"/>
      <c r="G34" s="7" t="s">
        <v>686</v>
      </c>
      <c r="H34" s="50"/>
      <c r="I34" s="51"/>
      <c r="J34" s="105" t="s">
        <v>687</v>
      </c>
      <c r="K34" s="106"/>
      <c r="L34" s="106"/>
      <c r="M34" s="106"/>
      <c r="N34" s="107"/>
      <c r="O34" s="90">
        <v>8</v>
      </c>
      <c r="P34" s="91">
        <v>0.8</v>
      </c>
    </row>
    <row r="35" s="1" customFormat="1" ht="57" customHeight="1" spans="1:16">
      <c r="A35" s="5" t="s">
        <v>688</v>
      </c>
      <c r="B35" s="5" t="s">
        <v>138</v>
      </c>
      <c r="C35" s="5">
        <v>1</v>
      </c>
      <c r="D35" s="5" t="s">
        <v>689</v>
      </c>
      <c r="E35" s="5"/>
      <c r="F35" s="5"/>
      <c r="G35" s="7" t="s">
        <v>690</v>
      </c>
      <c r="H35" s="50"/>
      <c r="I35" s="51"/>
      <c r="J35" s="7" t="s">
        <v>691</v>
      </c>
      <c r="K35" s="86"/>
      <c r="L35" s="86"/>
      <c r="M35" s="86"/>
      <c r="N35" s="87"/>
      <c r="O35" s="88" t="s">
        <v>129</v>
      </c>
      <c r="P35" s="89">
        <v>1</v>
      </c>
    </row>
    <row r="36" s="1" customFormat="1" ht="47.25" customHeight="1" spans="1:16">
      <c r="A36" s="5"/>
      <c r="B36" s="5" t="s">
        <v>148</v>
      </c>
      <c r="C36" s="5">
        <v>1</v>
      </c>
      <c r="D36" s="5" t="s">
        <v>692</v>
      </c>
      <c r="E36" s="5"/>
      <c r="F36" s="5"/>
      <c r="G36" s="7" t="s">
        <v>693</v>
      </c>
      <c r="H36" s="50"/>
      <c r="I36" s="51"/>
      <c r="J36" s="110" t="s">
        <v>694</v>
      </c>
      <c r="K36" s="106"/>
      <c r="L36" s="106"/>
      <c r="M36" s="106"/>
      <c r="N36" s="107"/>
      <c r="O36" s="90">
        <v>4</v>
      </c>
      <c r="P36" s="91">
        <v>0.8</v>
      </c>
    </row>
    <row r="37" s="1" customFormat="1" ht="46.5" customHeight="1" spans="1:16">
      <c r="A37" s="10" t="s">
        <v>695</v>
      </c>
      <c r="B37" s="5" t="s">
        <v>138</v>
      </c>
      <c r="C37" s="5">
        <v>1</v>
      </c>
      <c r="D37" s="5" t="s">
        <v>696</v>
      </c>
      <c r="E37" s="5"/>
      <c r="F37" s="5"/>
      <c r="G37" s="7" t="s">
        <v>344</v>
      </c>
      <c r="H37" s="50"/>
      <c r="I37" s="51"/>
      <c r="J37" s="92" t="s">
        <v>129</v>
      </c>
      <c r="K37" s="86"/>
      <c r="L37" s="86"/>
      <c r="M37" s="86"/>
      <c r="N37" s="87"/>
      <c r="O37" s="88" t="s">
        <v>129</v>
      </c>
      <c r="P37" s="89" t="s">
        <v>129</v>
      </c>
    </row>
    <row r="38" s="1" customFormat="1" ht="24" customHeight="1" spans="1:16">
      <c r="A38" s="30"/>
      <c r="B38" s="5" t="s">
        <v>148</v>
      </c>
      <c r="C38" s="5">
        <v>1</v>
      </c>
      <c r="D38" s="5" t="s">
        <v>697</v>
      </c>
      <c r="E38" s="5"/>
      <c r="F38" s="5"/>
      <c r="G38" s="7" t="s">
        <v>698</v>
      </c>
      <c r="H38" s="50"/>
      <c r="I38" s="51"/>
      <c r="J38" s="92" t="s">
        <v>129</v>
      </c>
      <c r="K38" s="86"/>
      <c r="L38" s="86"/>
      <c r="M38" s="86"/>
      <c r="N38" s="87"/>
      <c r="O38" s="88" t="s">
        <v>129</v>
      </c>
      <c r="P38" s="89" t="s">
        <v>129</v>
      </c>
    </row>
    <row r="39" s="1" customFormat="1" ht="24" customHeight="1" spans="1:16">
      <c r="A39" s="30"/>
      <c r="B39" s="5"/>
      <c r="C39" s="5">
        <v>2</v>
      </c>
      <c r="D39" s="5" t="s">
        <v>699</v>
      </c>
      <c r="E39" s="5"/>
      <c r="F39" s="5" t="s">
        <v>700</v>
      </c>
      <c r="G39" s="7" t="s">
        <v>393</v>
      </c>
      <c r="H39" s="50"/>
      <c r="I39" s="51"/>
      <c r="J39" s="92" t="s">
        <v>129</v>
      </c>
      <c r="K39" s="86"/>
      <c r="L39" s="86"/>
      <c r="M39" s="86"/>
      <c r="N39" s="87"/>
      <c r="O39" s="88" t="s">
        <v>129</v>
      </c>
      <c r="P39" s="89" t="s">
        <v>129</v>
      </c>
    </row>
    <row r="40" s="1" customFormat="1" ht="24" customHeight="1" spans="1:16">
      <c r="A40" s="30"/>
      <c r="B40" s="5"/>
      <c r="C40" s="5"/>
      <c r="D40" s="5"/>
      <c r="E40" s="5"/>
      <c r="F40" s="5" t="s">
        <v>701</v>
      </c>
      <c r="G40" s="7" t="s">
        <v>702</v>
      </c>
      <c r="H40" s="50"/>
      <c r="I40" s="51"/>
      <c r="J40" s="92" t="s">
        <v>129</v>
      </c>
      <c r="K40" s="86"/>
      <c r="L40" s="86"/>
      <c r="M40" s="86"/>
      <c r="N40" s="87"/>
      <c r="O40" s="88" t="s">
        <v>129</v>
      </c>
      <c r="P40" s="89" t="s">
        <v>129</v>
      </c>
    </row>
    <row r="41" s="1" customFormat="1" ht="24" customHeight="1" spans="1:16">
      <c r="A41" s="30"/>
      <c r="B41" s="5"/>
      <c r="C41" s="5">
        <v>3</v>
      </c>
      <c r="D41" s="5" t="s">
        <v>703</v>
      </c>
      <c r="E41" s="5"/>
      <c r="F41" s="5"/>
      <c r="G41" s="7" t="s">
        <v>704</v>
      </c>
      <c r="H41" s="50"/>
      <c r="I41" s="51"/>
      <c r="J41" s="92" t="s">
        <v>129</v>
      </c>
      <c r="K41" s="86"/>
      <c r="L41" s="86"/>
      <c r="M41" s="86"/>
      <c r="N41" s="87"/>
      <c r="O41" s="88" t="s">
        <v>129</v>
      </c>
      <c r="P41" s="89" t="s">
        <v>129</v>
      </c>
    </row>
    <row r="42" s="1" customFormat="1" ht="24" customHeight="1" spans="1:16">
      <c r="A42" s="30"/>
      <c r="B42" s="5"/>
      <c r="C42" s="5">
        <v>4</v>
      </c>
      <c r="D42" s="5" t="s">
        <v>705</v>
      </c>
      <c r="E42" s="5"/>
      <c r="F42" s="5"/>
      <c r="G42" s="7" t="s">
        <v>344</v>
      </c>
      <c r="H42" s="50"/>
      <c r="I42" s="51"/>
      <c r="J42" s="92" t="s">
        <v>129</v>
      </c>
      <c r="K42" s="86"/>
      <c r="L42" s="86"/>
      <c r="M42" s="86"/>
      <c r="N42" s="87"/>
      <c r="O42" s="88" t="s">
        <v>129</v>
      </c>
      <c r="P42" s="89" t="s">
        <v>129</v>
      </c>
    </row>
    <row r="43" s="1" customFormat="1" ht="24" customHeight="1" spans="1:16">
      <c r="A43" s="17"/>
      <c r="B43" s="5"/>
      <c r="C43" s="5">
        <v>5</v>
      </c>
      <c r="D43" s="5" t="s">
        <v>706</v>
      </c>
      <c r="E43" s="5"/>
      <c r="F43" s="5"/>
      <c r="G43" s="7" t="s">
        <v>707</v>
      </c>
      <c r="H43" s="50"/>
      <c r="I43" s="51"/>
      <c r="J43" s="92" t="s">
        <v>129</v>
      </c>
      <c r="K43" s="86"/>
      <c r="L43" s="86"/>
      <c r="M43" s="86"/>
      <c r="N43" s="87"/>
      <c r="O43" s="88" t="s">
        <v>129</v>
      </c>
      <c r="P43" s="89" t="s">
        <v>129</v>
      </c>
    </row>
    <row r="44" s="1" customFormat="1" ht="24.75" customHeight="1" spans="1:16">
      <c r="A44" s="13" t="s">
        <v>199</v>
      </c>
      <c r="B44" s="79"/>
      <c r="C44" s="14"/>
      <c r="D44" s="82" t="s">
        <v>708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111"/>
    </row>
    <row r="45" s="1" customFormat="1" ht="18.75" customHeight="1" spans="1:16">
      <c r="A45" s="41"/>
      <c r="B45" s="42"/>
      <c r="C45" s="61"/>
      <c r="D45" s="82" t="s">
        <v>709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111"/>
    </row>
    <row r="46" s="1" customFormat="1" spans="1:16">
      <c r="A46" s="41"/>
      <c r="B46" s="42"/>
      <c r="C46" s="61"/>
      <c r="D46" s="41" t="s">
        <v>378</v>
      </c>
      <c r="E46" s="42"/>
      <c r="F46" s="42"/>
      <c r="G46" s="43" t="s">
        <v>83</v>
      </c>
      <c r="H46" s="43"/>
      <c r="I46" s="43"/>
      <c r="J46" s="43"/>
      <c r="K46" s="43"/>
      <c r="L46" s="43"/>
      <c r="M46" s="43"/>
      <c r="N46" s="75"/>
      <c r="O46" s="75"/>
      <c r="P46" s="76"/>
    </row>
    <row r="47" s="1" customFormat="1" ht="12" customHeight="1" spans="1:16">
      <c r="A47" s="41"/>
      <c r="B47" s="42"/>
      <c r="C47" s="61"/>
      <c r="D47" s="82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111"/>
    </row>
    <row r="48" s="1" customFormat="1" ht="3" customHeight="1" spans="1:16">
      <c r="A48" s="41"/>
      <c r="B48" s="42"/>
      <c r="C48" s="61"/>
      <c r="D48" s="41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61"/>
    </row>
    <row r="49" s="1" customFormat="1" ht="16.5" customHeight="1" spans="1:16">
      <c r="A49" s="41"/>
      <c r="B49" s="42"/>
      <c r="C49" s="61"/>
      <c r="D49" s="45" t="s">
        <v>118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62"/>
    </row>
    <row r="50" s="1" customFormat="1" ht="11.25" customHeight="1" spans="1:16">
      <c r="A50" s="20"/>
      <c r="B50" s="44"/>
      <c r="C50" s="21"/>
      <c r="D50" s="47" t="s">
        <v>448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63"/>
    </row>
    <row r="51" s="1" customFormat="1" ht="21.75" customHeight="1" spans="1:16">
      <c r="A51" s="13" t="s">
        <v>201</v>
      </c>
      <c r="B51" s="79"/>
      <c r="C51" s="14"/>
      <c r="D51" s="11" t="s">
        <v>710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12"/>
    </row>
    <row r="52" s="1" customFormat="1" ht="18.75" customHeight="1" spans="1:16">
      <c r="A52" s="41"/>
      <c r="B52" s="42"/>
      <c r="C52" s="61"/>
      <c r="D52" s="82" t="s">
        <v>711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111"/>
    </row>
    <row r="53" s="1" customFormat="1" spans="1:16">
      <c r="A53" s="41"/>
      <c r="B53" s="42"/>
      <c r="C53" s="61"/>
      <c r="D53" s="82" t="s">
        <v>378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111"/>
    </row>
    <row r="54" s="1" customFormat="1" spans="1:16">
      <c r="A54" s="41"/>
      <c r="B54" s="42"/>
      <c r="C54" s="61"/>
      <c r="D54" s="41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61"/>
    </row>
    <row r="55" s="1" customFormat="1" ht="7.5" customHeight="1" spans="1:16">
      <c r="A55" s="41"/>
      <c r="B55" s="42"/>
      <c r="C55" s="61"/>
      <c r="D55" s="41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61"/>
    </row>
    <row r="56" s="1" customFormat="1" ht="18.75" customHeight="1" spans="1:16">
      <c r="A56" s="41"/>
      <c r="B56" s="42"/>
      <c r="C56" s="61"/>
      <c r="D56" s="45" t="s">
        <v>118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62"/>
    </row>
    <row r="57" s="1" customFormat="1" ht="21" customHeight="1" spans="1:16">
      <c r="A57" s="20"/>
      <c r="B57" s="44"/>
      <c r="C57" s="21"/>
      <c r="D57" s="47" t="s">
        <v>448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63"/>
    </row>
  </sheetData>
  <mergeCells count="151">
    <mergeCell ref="A1:P1"/>
    <mergeCell ref="A2:P2"/>
    <mergeCell ref="A3:D3"/>
    <mergeCell ref="E3:G3"/>
    <mergeCell ref="I3:P3"/>
    <mergeCell ref="A4:D4"/>
    <mergeCell ref="E4:G4"/>
    <mergeCell ref="I4:P4"/>
    <mergeCell ref="A5:D5"/>
    <mergeCell ref="E5:G5"/>
    <mergeCell ref="I5:P5"/>
    <mergeCell ref="A6:C6"/>
    <mergeCell ref="D6:F6"/>
    <mergeCell ref="G6:I6"/>
    <mergeCell ref="J6:N6"/>
    <mergeCell ref="D7:F7"/>
    <mergeCell ref="G7:I7"/>
    <mergeCell ref="J7:N7"/>
    <mergeCell ref="D8:F8"/>
    <mergeCell ref="G8:I8"/>
    <mergeCell ref="J8:N8"/>
    <mergeCell ref="D9:F9"/>
    <mergeCell ref="G9:I9"/>
    <mergeCell ref="J9:N9"/>
    <mergeCell ref="D10:F10"/>
    <mergeCell ref="G10:I10"/>
    <mergeCell ref="J10:N10"/>
    <mergeCell ref="D11:F11"/>
    <mergeCell ref="G11:I11"/>
    <mergeCell ref="J11:N11"/>
    <mergeCell ref="J16:N16"/>
    <mergeCell ref="J17:N17"/>
    <mergeCell ref="G18:I18"/>
    <mergeCell ref="J18:N18"/>
    <mergeCell ref="G19:I19"/>
    <mergeCell ref="J19:N19"/>
    <mergeCell ref="G20:I20"/>
    <mergeCell ref="J20:N20"/>
    <mergeCell ref="D21:F21"/>
    <mergeCell ref="G21:I21"/>
    <mergeCell ref="J21:N21"/>
    <mergeCell ref="D22:F22"/>
    <mergeCell ref="G22:I22"/>
    <mergeCell ref="J22:N22"/>
    <mergeCell ref="D23:F23"/>
    <mergeCell ref="G23:I23"/>
    <mergeCell ref="J23:N23"/>
    <mergeCell ref="D24:F24"/>
    <mergeCell ref="G24:I24"/>
    <mergeCell ref="J24:N24"/>
    <mergeCell ref="D25:F25"/>
    <mergeCell ref="G25:I25"/>
    <mergeCell ref="J25:N25"/>
    <mergeCell ref="O26:P26"/>
    <mergeCell ref="A27:C27"/>
    <mergeCell ref="D27:F27"/>
    <mergeCell ref="G27:I27"/>
    <mergeCell ref="J27:N27"/>
    <mergeCell ref="D28:F28"/>
    <mergeCell ref="G28:I28"/>
    <mergeCell ref="J28:N28"/>
    <mergeCell ref="D29:F29"/>
    <mergeCell ref="G29:I29"/>
    <mergeCell ref="J29:N29"/>
    <mergeCell ref="D30:F30"/>
    <mergeCell ref="G30:I30"/>
    <mergeCell ref="J30:N30"/>
    <mergeCell ref="D31:F31"/>
    <mergeCell ref="G31:I31"/>
    <mergeCell ref="J31:N31"/>
    <mergeCell ref="G32:I32"/>
    <mergeCell ref="J32:N32"/>
    <mergeCell ref="G33:I33"/>
    <mergeCell ref="J33:N33"/>
    <mergeCell ref="E34:F34"/>
    <mergeCell ref="G34:I34"/>
    <mergeCell ref="J34:N34"/>
    <mergeCell ref="D35:F35"/>
    <mergeCell ref="G35:I35"/>
    <mergeCell ref="J35:N35"/>
    <mergeCell ref="D36:F36"/>
    <mergeCell ref="G36:I36"/>
    <mergeCell ref="J36:N36"/>
    <mergeCell ref="D37:F37"/>
    <mergeCell ref="G37:I37"/>
    <mergeCell ref="J37:N37"/>
    <mergeCell ref="D38:F38"/>
    <mergeCell ref="G38:I38"/>
    <mergeCell ref="J38:N38"/>
    <mergeCell ref="G39:I39"/>
    <mergeCell ref="J39:N39"/>
    <mergeCell ref="G40:I40"/>
    <mergeCell ref="J40:N40"/>
    <mergeCell ref="D41:F41"/>
    <mergeCell ref="G41:I41"/>
    <mergeCell ref="J41:N41"/>
    <mergeCell ref="D42:F42"/>
    <mergeCell ref="G42:I42"/>
    <mergeCell ref="J42:N42"/>
    <mergeCell ref="D43:F43"/>
    <mergeCell ref="G43:I43"/>
    <mergeCell ref="J43:N43"/>
    <mergeCell ref="D44:P44"/>
    <mergeCell ref="D45:P45"/>
    <mergeCell ref="D46:F46"/>
    <mergeCell ref="G46:M46"/>
    <mergeCell ref="D47:P47"/>
    <mergeCell ref="D48:P48"/>
    <mergeCell ref="D49:P49"/>
    <mergeCell ref="D50:P50"/>
    <mergeCell ref="D51:P51"/>
    <mergeCell ref="D52:P52"/>
    <mergeCell ref="D53:P53"/>
    <mergeCell ref="D54:P54"/>
    <mergeCell ref="D55:P55"/>
    <mergeCell ref="D56:P56"/>
    <mergeCell ref="D57:P57"/>
    <mergeCell ref="A7:A21"/>
    <mergeCell ref="A22:A25"/>
    <mergeCell ref="A28:A34"/>
    <mergeCell ref="A35:A36"/>
    <mergeCell ref="A37:A43"/>
    <mergeCell ref="B7:B11"/>
    <mergeCell ref="B12:B21"/>
    <mergeCell ref="B23:B25"/>
    <mergeCell ref="B28:B29"/>
    <mergeCell ref="B30:B34"/>
    <mergeCell ref="B38:B43"/>
    <mergeCell ref="C12:C17"/>
    <mergeCell ref="C18:C20"/>
    <mergeCell ref="C32:C34"/>
    <mergeCell ref="C39:C40"/>
    <mergeCell ref="D32:D34"/>
    <mergeCell ref="E32:E33"/>
    <mergeCell ref="F12:F13"/>
    <mergeCell ref="F14:F15"/>
    <mergeCell ref="F16:F17"/>
    <mergeCell ref="O12:O13"/>
    <mergeCell ref="O14:O15"/>
    <mergeCell ref="P12:P13"/>
    <mergeCell ref="P14:P15"/>
    <mergeCell ref="D12:E17"/>
    <mergeCell ref="G12:I13"/>
    <mergeCell ref="J12:N13"/>
    <mergeCell ref="G14:I15"/>
    <mergeCell ref="J14:N15"/>
    <mergeCell ref="G16:I17"/>
    <mergeCell ref="D18:E20"/>
    <mergeCell ref="D39:E40"/>
    <mergeCell ref="A44:C50"/>
    <mergeCell ref="A51:C57"/>
  </mergeCells>
  <pageMargins left="0.75" right="0.75" top="1" bottom="1" header="0.5" footer="0.5"/>
  <pageSetup paperSize="9" scale="95" fitToHeight="0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"/>
  <sheetViews>
    <sheetView topLeftCell="A11" workbookViewId="0">
      <selection activeCell="O11" sqref="O11"/>
    </sheetView>
  </sheetViews>
  <sheetFormatPr defaultColWidth="10.2857142857143" defaultRowHeight="13.5"/>
  <cols>
    <col min="1" max="1" width="3.42857142857143" style="1" customWidth="1"/>
    <col min="2" max="2" width="3.84761904761905" style="1" customWidth="1"/>
    <col min="3" max="3" width="10.2857142857143" style="1"/>
    <col min="4" max="4" width="11.7142857142857" style="1" customWidth="1"/>
    <col min="5" max="5" width="14.8571428571429" style="1" customWidth="1"/>
    <col min="6" max="6" width="8.82857142857143" style="1" customWidth="1"/>
    <col min="7" max="7" width="5.57142857142857" style="1" customWidth="1"/>
    <col min="8" max="8" width="27" style="1" customWidth="1"/>
    <col min="9" max="9" width="8.41904761904762" style="1" customWidth="1"/>
    <col min="10" max="10" width="8.1047619047619" style="1" customWidth="1"/>
    <col min="11" max="248" width="10.2857142857143" style="1"/>
  </cols>
  <sheetData>
    <row r="1" s="1" customFormat="1" ht="23.25" customHeight="1" spans="1:10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3.25" customHeight="1" spans="1:10">
      <c r="A2" s="64" t="s">
        <v>712</v>
      </c>
      <c r="B2" s="64"/>
      <c r="C2" s="64"/>
      <c r="D2" s="64"/>
      <c r="E2" s="64"/>
      <c r="F2" s="64"/>
      <c r="G2" s="64"/>
      <c r="H2" s="64"/>
      <c r="I2" s="64"/>
      <c r="J2" s="64"/>
    </row>
    <row r="3" s="1" customFormat="1" ht="23.25" customHeight="1" spans="1:10">
      <c r="A3" s="5" t="s">
        <v>95</v>
      </c>
      <c r="B3" s="5"/>
      <c r="C3" s="5"/>
      <c r="D3" s="65" t="str">
        <f>[1]普通混凝土单元!D3</f>
        <v>进水闸工程</v>
      </c>
      <c r="E3" s="66"/>
      <c r="F3" s="67"/>
      <c r="G3" s="5" t="s">
        <v>128</v>
      </c>
      <c r="H3" s="7" t="s">
        <v>129</v>
      </c>
      <c r="I3" s="50"/>
      <c r="J3" s="51"/>
    </row>
    <row r="4" s="1" customFormat="1" ht="23.25" customHeight="1" spans="1:10">
      <c r="A4" s="5" t="s">
        <v>97</v>
      </c>
      <c r="B4" s="5"/>
      <c r="C4" s="5"/>
      <c r="D4" s="68" t="str">
        <f>[1]普通混凝土单元!D4</f>
        <v>闸室段</v>
      </c>
      <c r="E4" s="66"/>
      <c r="F4" s="67"/>
      <c r="G4" s="5" t="s">
        <v>98</v>
      </c>
      <c r="H4" s="9" t="str">
        <f>[1]普通混凝土单元!G4</f>
        <v>四川华浩建筑工程有限公司</v>
      </c>
      <c r="I4" s="52"/>
      <c r="J4" s="53"/>
    </row>
    <row r="5" s="1" customFormat="1" ht="23.25" customHeight="1" spans="1:10">
      <c r="A5" s="5" t="s">
        <v>100</v>
      </c>
      <c r="B5" s="5"/>
      <c r="C5" s="5"/>
      <c r="D5" s="65" t="str">
        <f>[1]普通混凝土单元!D5</f>
        <v>2#闸墩，▽152.500～154.500m</v>
      </c>
      <c r="E5" s="66"/>
      <c r="F5" s="67"/>
      <c r="G5" s="5" t="s">
        <v>102</v>
      </c>
      <c r="H5" s="7" t="s">
        <v>713</v>
      </c>
      <c r="I5" s="50"/>
      <c r="J5" s="51"/>
    </row>
    <row r="6" s="1" customFormat="1" spans="1:10">
      <c r="A6" s="5" t="s">
        <v>50</v>
      </c>
      <c r="B6" s="5"/>
      <c r="C6" s="5" t="s">
        <v>133</v>
      </c>
      <c r="D6" s="5"/>
      <c r="E6" s="5" t="s">
        <v>134</v>
      </c>
      <c r="F6" s="5"/>
      <c r="G6" s="5"/>
      <c r="H6" s="5" t="s">
        <v>714</v>
      </c>
      <c r="I6" s="5" t="s">
        <v>136</v>
      </c>
      <c r="J6" s="5" t="s">
        <v>137</v>
      </c>
    </row>
    <row r="7" s="1" customFormat="1" ht="50" customHeight="1" spans="1:10">
      <c r="A7" s="10" t="s">
        <v>138</v>
      </c>
      <c r="B7" s="5">
        <v>1</v>
      </c>
      <c r="C7" s="27" t="s">
        <v>715</v>
      </c>
      <c r="D7" s="27"/>
      <c r="E7" s="27" t="s">
        <v>716</v>
      </c>
      <c r="F7" s="27"/>
      <c r="G7" s="27"/>
      <c r="H7" s="28" t="s">
        <v>717</v>
      </c>
      <c r="I7" s="29" t="s">
        <v>129</v>
      </c>
      <c r="J7" s="58">
        <v>1</v>
      </c>
    </row>
    <row r="8" s="1" customFormat="1" ht="65" customHeight="1" spans="1:10">
      <c r="A8" s="30"/>
      <c r="B8" s="5">
        <v>2</v>
      </c>
      <c r="C8" s="27" t="s">
        <v>718</v>
      </c>
      <c r="D8" s="27"/>
      <c r="E8" s="27" t="s">
        <v>719</v>
      </c>
      <c r="F8" s="27"/>
      <c r="G8" s="27"/>
      <c r="H8" s="28" t="s">
        <v>720</v>
      </c>
      <c r="I8" s="29" t="s">
        <v>129</v>
      </c>
      <c r="J8" s="58">
        <v>1</v>
      </c>
    </row>
    <row r="9" s="1" customFormat="1" ht="72" customHeight="1" spans="1:10">
      <c r="A9" s="30"/>
      <c r="B9" s="5">
        <v>3</v>
      </c>
      <c r="C9" s="27" t="s">
        <v>721</v>
      </c>
      <c r="D9" s="27"/>
      <c r="E9" s="27" t="s">
        <v>722</v>
      </c>
      <c r="F9" s="27"/>
      <c r="G9" s="27"/>
      <c r="H9" s="28" t="s">
        <v>723</v>
      </c>
      <c r="I9" s="29" t="s">
        <v>129</v>
      </c>
      <c r="J9" s="58">
        <v>1</v>
      </c>
    </row>
    <row r="10" s="1" customFormat="1" ht="54" customHeight="1" spans="1:10">
      <c r="A10" s="30"/>
      <c r="B10" s="5">
        <v>4</v>
      </c>
      <c r="C10" s="27" t="s">
        <v>724</v>
      </c>
      <c r="D10" s="27"/>
      <c r="E10" s="27" t="s">
        <v>725</v>
      </c>
      <c r="F10" s="27"/>
      <c r="G10" s="27"/>
      <c r="H10" s="28" t="s">
        <v>726</v>
      </c>
      <c r="I10" s="29" t="s">
        <v>129</v>
      </c>
      <c r="J10" s="58">
        <v>1</v>
      </c>
    </row>
    <row r="11" s="1" customFormat="1" ht="33.75" customHeight="1" spans="1:10">
      <c r="A11" s="30"/>
      <c r="B11" s="5">
        <v>5</v>
      </c>
      <c r="C11" s="27" t="s">
        <v>727</v>
      </c>
      <c r="D11" s="27"/>
      <c r="E11" s="27" t="s">
        <v>728</v>
      </c>
      <c r="F11" s="27"/>
      <c r="G11" s="27"/>
      <c r="H11" s="29" t="s">
        <v>129</v>
      </c>
      <c r="I11" s="29" t="s">
        <v>129</v>
      </c>
      <c r="J11" s="29" t="s">
        <v>129</v>
      </c>
    </row>
    <row r="12" s="1" customFormat="1" ht="82" customHeight="1" spans="1:10">
      <c r="A12" s="17"/>
      <c r="B12" s="5">
        <v>6</v>
      </c>
      <c r="C12" s="27" t="s">
        <v>729</v>
      </c>
      <c r="D12" s="27"/>
      <c r="E12" s="27" t="s">
        <v>730</v>
      </c>
      <c r="F12" s="27"/>
      <c r="G12" s="27"/>
      <c r="H12" s="28" t="s">
        <v>731</v>
      </c>
      <c r="I12" s="29" t="s">
        <v>129</v>
      </c>
      <c r="J12" s="58">
        <v>1</v>
      </c>
    </row>
    <row r="13" s="1" customFormat="1" ht="74" customHeight="1" spans="1:10">
      <c r="A13" s="5" t="s">
        <v>148</v>
      </c>
      <c r="B13" s="5">
        <v>1</v>
      </c>
      <c r="C13" s="27" t="s">
        <v>732</v>
      </c>
      <c r="D13" s="27"/>
      <c r="E13" s="27" t="s">
        <v>733</v>
      </c>
      <c r="F13" s="27"/>
      <c r="G13" s="27"/>
      <c r="H13" s="69" t="s">
        <v>734</v>
      </c>
      <c r="I13" s="73">
        <v>16</v>
      </c>
      <c r="J13" s="73">
        <v>80</v>
      </c>
    </row>
    <row r="14" s="1" customFormat="1" ht="78" customHeight="1" spans="1:10">
      <c r="A14" s="5"/>
      <c r="B14" s="5">
        <v>2</v>
      </c>
      <c r="C14" s="27" t="s">
        <v>735</v>
      </c>
      <c r="D14" s="27"/>
      <c r="E14" s="27" t="s">
        <v>736</v>
      </c>
      <c r="F14" s="27"/>
      <c r="G14" s="27"/>
      <c r="H14" s="28" t="s">
        <v>737</v>
      </c>
      <c r="I14" s="29" t="s">
        <v>129</v>
      </c>
      <c r="J14" s="58">
        <v>0.7</v>
      </c>
    </row>
    <row r="15" s="1" customFormat="1" ht="59" customHeight="1" spans="1:10">
      <c r="A15" s="5"/>
      <c r="B15" s="5">
        <v>3</v>
      </c>
      <c r="C15" s="27" t="s">
        <v>738</v>
      </c>
      <c r="D15" s="27"/>
      <c r="E15" s="27" t="s">
        <v>739</v>
      </c>
      <c r="F15" s="27"/>
      <c r="G15" s="27"/>
      <c r="H15" s="69" t="s">
        <v>740</v>
      </c>
      <c r="I15" s="29" t="s">
        <v>129</v>
      </c>
      <c r="J15" s="74">
        <v>0.7</v>
      </c>
    </row>
    <row r="16" s="1" customFormat="1" ht="33.75" customHeight="1" spans="1:10">
      <c r="A16" s="5"/>
      <c r="B16" s="5">
        <v>4</v>
      </c>
      <c r="C16" s="27" t="s">
        <v>741</v>
      </c>
      <c r="D16" s="27"/>
      <c r="E16" s="27" t="s">
        <v>742</v>
      </c>
      <c r="F16" s="27"/>
      <c r="G16" s="27"/>
      <c r="H16" s="29" t="s">
        <v>129</v>
      </c>
      <c r="I16" s="29" t="s">
        <v>129</v>
      </c>
      <c r="J16" s="58" t="s">
        <v>129</v>
      </c>
    </row>
    <row r="17" s="1" customFormat="1" ht="57" customHeight="1" spans="1:10">
      <c r="A17" s="5"/>
      <c r="B17" s="5">
        <v>5</v>
      </c>
      <c r="C17" s="27" t="s">
        <v>743</v>
      </c>
      <c r="D17" s="27"/>
      <c r="E17" s="27" t="s">
        <v>744</v>
      </c>
      <c r="F17" s="27"/>
      <c r="G17" s="27"/>
      <c r="H17" s="28" t="s">
        <v>745</v>
      </c>
      <c r="I17" s="29" t="s">
        <v>129</v>
      </c>
      <c r="J17" s="58">
        <v>0.7</v>
      </c>
    </row>
    <row r="18" s="1" customFormat="1" ht="29.25" customHeight="1" spans="1:11">
      <c r="A18" s="5" t="s">
        <v>199</v>
      </c>
      <c r="B18" s="5"/>
      <c r="C18" s="41" t="s">
        <v>708</v>
      </c>
      <c r="D18" s="70"/>
      <c r="E18" s="70"/>
      <c r="F18" s="70"/>
      <c r="G18" s="70"/>
      <c r="H18" s="70"/>
      <c r="I18" s="70"/>
      <c r="J18" s="61"/>
      <c r="K18" s="75"/>
    </row>
    <row r="19" s="1" customFormat="1" ht="20.25" customHeight="1" spans="1:11">
      <c r="A19" s="5"/>
      <c r="B19" s="5"/>
      <c r="C19" s="41" t="s">
        <v>709</v>
      </c>
      <c r="D19" s="70"/>
      <c r="E19" s="70"/>
      <c r="F19" s="70"/>
      <c r="G19" s="70"/>
      <c r="H19" s="70"/>
      <c r="I19" s="70"/>
      <c r="J19" s="61"/>
      <c r="K19" s="75"/>
    </row>
    <row r="20" s="1" customFormat="1" spans="1:11">
      <c r="A20" s="5"/>
      <c r="B20" s="5"/>
      <c r="C20" s="71" t="s">
        <v>746</v>
      </c>
      <c r="D20" s="72"/>
      <c r="E20" s="72"/>
      <c r="F20" s="72"/>
      <c r="G20" s="72"/>
      <c r="H20" s="72"/>
      <c r="I20" s="72"/>
      <c r="J20" s="76"/>
      <c r="K20" s="77"/>
    </row>
    <row r="21" s="1" customFormat="1" ht="10.5" customHeight="1" spans="1:10">
      <c r="A21" s="5"/>
      <c r="B21" s="5"/>
      <c r="C21" s="40"/>
      <c r="D21" s="39"/>
      <c r="E21" s="39"/>
      <c r="F21" s="39"/>
      <c r="G21" s="39"/>
      <c r="H21" s="39"/>
      <c r="I21" s="39"/>
      <c r="J21" s="60"/>
    </row>
    <row r="22" s="1" customFormat="1" ht="5.25" customHeight="1" spans="1:10">
      <c r="A22" s="5"/>
      <c r="B22" s="5"/>
      <c r="C22" s="40"/>
      <c r="D22" s="39"/>
      <c r="E22" s="39"/>
      <c r="F22" s="39"/>
      <c r="G22" s="39"/>
      <c r="H22" s="39"/>
      <c r="I22" s="39"/>
      <c r="J22" s="60"/>
    </row>
    <row r="23" s="1" customFormat="1" ht="11.25" customHeight="1" spans="1:10">
      <c r="A23" s="5"/>
      <c r="B23" s="5"/>
      <c r="C23" s="40"/>
      <c r="D23" s="39"/>
      <c r="E23" s="39"/>
      <c r="F23" s="39"/>
      <c r="G23" s="39"/>
      <c r="H23" s="39"/>
      <c r="I23" s="39"/>
      <c r="J23" s="60"/>
    </row>
    <row r="24" s="1" customFormat="1" ht="16.5" customHeight="1" spans="1:10">
      <c r="A24" s="5"/>
      <c r="B24" s="5"/>
      <c r="C24" s="45" t="s">
        <v>118</v>
      </c>
      <c r="D24" s="46"/>
      <c r="E24" s="46"/>
      <c r="F24" s="46"/>
      <c r="G24" s="46"/>
      <c r="H24" s="46"/>
      <c r="I24" s="46"/>
      <c r="J24" s="62"/>
    </row>
    <row r="25" s="1" customFormat="1" ht="16.5" customHeight="1" spans="1:10">
      <c r="A25" s="5"/>
      <c r="B25" s="5"/>
      <c r="C25" s="47" t="s">
        <v>448</v>
      </c>
      <c r="D25" s="48"/>
      <c r="E25" s="48"/>
      <c r="F25" s="48"/>
      <c r="G25" s="48"/>
      <c r="H25" s="48"/>
      <c r="I25" s="48"/>
      <c r="J25" s="63"/>
    </row>
    <row r="26" s="1" customFormat="1" ht="25.5" customHeight="1" spans="1:10">
      <c r="A26" s="5" t="s">
        <v>201</v>
      </c>
      <c r="B26" s="5"/>
      <c r="C26" s="37" t="s">
        <v>747</v>
      </c>
      <c r="D26" s="38"/>
      <c r="E26" s="38"/>
      <c r="F26" s="38"/>
      <c r="G26" s="38"/>
      <c r="H26" s="38"/>
      <c r="I26" s="38"/>
      <c r="J26" s="59"/>
    </row>
    <row r="27" s="1" customFormat="1" ht="21" customHeight="1" spans="1:10">
      <c r="A27" s="5"/>
      <c r="B27" s="5"/>
      <c r="C27" s="40" t="s">
        <v>748</v>
      </c>
      <c r="D27" s="39"/>
      <c r="E27" s="39"/>
      <c r="F27" s="39"/>
      <c r="G27" s="39"/>
      <c r="H27" s="39"/>
      <c r="I27" s="39"/>
      <c r="J27" s="60"/>
    </row>
    <row r="28" s="1" customFormat="1" spans="1:10">
      <c r="A28" s="5"/>
      <c r="B28" s="5"/>
      <c r="C28" s="40" t="s">
        <v>378</v>
      </c>
      <c r="D28" s="39"/>
      <c r="E28" s="39"/>
      <c r="F28" s="39"/>
      <c r="G28" s="39"/>
      <c r="H28" s="39"/>
      <c r="I28" s="39"/>
      <c r="J28" s="60"/>
    </row>
    <row r="29" s="1" customFormat="1" ht="8.25" customHeight="1" spans="1:10">
      <c r="A29" s="5"/>
      <c r="B29" s="5"/>
      <c r="C29" s="40"/>
      <c r="D29" s="39"/>
      <c r="E29" s="39"/>
      <c r="F29" s="39"/>
      <c r="G29" s="39"/>
      <c r="H29" s="39"/>
      <c r="I29" s="39"/>
      <c r="J29" s="60"/>
    </row>
    <row r="30" s="1" customFormat="1" spans="1:10">
      <c r="A30" s="5"/>
      <c r="B30" s="5"/>
      <c r="C30" s="40"/>
      <c r="D30" s="39"/>
      <c r="E30" s="39"/>
      <c r="F30" s="39"/>
      <c r="G30" s="39"/>
      <c r="H30" s="39"/>
      <c r="I30" s="39"/>
      <c r="J30" s="60"/>
    </row>
    <row r="31" s="1" customFormat="1" ht="6" customHeight="1" spans="1:10">
      <c r="A31" s="5"/>
      <c r="B31" s="5"/>
      <c r="C31" s="40"/>
      <c r="D31" s="39"/>
      <c r="E31" s="39"/>
      <c r="F31" s="39"/>
      <c r="G31" s="39"/>
      <c r="H31" s="39"/>
      <c r="I31" s="39"/>
      <c r="J31" s="60"/>
    </row>
    <row r="32" s="1" customFormat="1" ht="15" customHeight="1" spans="1:10">
      <c r="A32" s="5"/>
      <c r="B32" s="5"/>
      <c r="C32" s="45" t="s">
        <v>118</v>
      </c>
      <c r="D32" s="46"/>
      <c r="E32" s="46"/>
      <c r="F32" s="46"/>
      <c r="G32" s="46"/>
      <c r="H32" s="46"/>
      <c r="I32" s="46"/>
      <c r="J32" s="62"/>
    </row>
    <row r="33" s="1" customFormat="1" ht="21" customHeight="1" spans="1:10">
      <c r="A33" s="5"/>
      <c r="B33" s="5"/>
      <c r="C33" s="47" t="s">
        <v>448</v>
      </c>
      <c r="D33" s="48"/>
      <c r="E33" s="48"/>
      <c r="F33" s="48"/>
      <c r="G33" s="48"/>
      <c r="H33" s="48"/>
      <c r="I33" s="48"/>
      <c r="J33" s="63"/>
    </row>
    <row r="34" s="1" customFormat="1" spans="1:10">
      <c r="A34" s="49"/>
      <c r="B34" s="49"/>
      <c r="C34" s="49"/>
      <c r="D34" s="49"/>
      <c r="E34" s="49"/>
      <c r="F34" s="49"/>
      <c r="G34" s="49"/>
      <c r="H34" s="49"/>
      <c r="I34" s="49"/>
      <c r="J34" s="49"/>
    </row>
  </sheetData>
  <mergeCells count="56">
    <mergeCell ref="A1:J1"/>
    <mergeCell ref="A2:J2"/>
    <mergeCell ref="A3:C3"/>
    <mergeCell ref="D3:F3"/>
    <mergeCell ref="H3:J3"/>
    <mergeCell ref="A4:C4"/>
    <mergeCell ref="D4:F4"/>
    <mergeCell ref="H4:J4"/>
    <mergeCell ref="A5:C5"/>
    <mergeCell ref="D5:F5"/>
    <mergeCell ref="H5:J5"/>
    <mergeCell ref="A6:B6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A7:A12"/>
    <mergeCell ref="A13:A17"/>
    <mergeCell ref="A18:B25"/>
    <mergeCell ref="A26:B33"/>
  </mergeCells>
  <pageMargins left="0.75" right="0.75" top="1" bottom="1" header="0.5" footer="0.5"/>
  <pageSetup paperSize="9" scale="94" fitToHeight="0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7"/>
  <sheetViews>
    <sheetView workbookViewId="0">
      <selection activeCell="R12" sqref="R12"/>
    </sheetView>
  </sheetViews>
  <sheetFormatPr defaultColWidth="10.2857142857143" defaultRowHeight="13.5"/>
  <cols>
    <col min="1" max="1" width="2.59047619047619" style="1" customWidth="1"/>
    <col min="2" max="2" width="3.00952380952381" style="1" customWidth="1"/>
    <col min="3" max="3" width="12.5714285714286" style="1" customWidth="1"/>
    <col min="4" max="4" width="10.2857142857143" style="1"/>
    <col min="5" max="5" width="13.8571428571429" style="1" customWidth="1"/>
    <col min="6" max="6" width="12.2857142857143" style="1" customWidth="1"/>
    <col min="7" max="12" width="4.87619047619048" style="1" customWidth="1"/>
    <col min="13" max="13" width="8.30476190476191" style="1" customWidth="1"/>
    <col min="14" max="14" width="8.71428571428571" style="1" customWidth="1"/>
    <col min="15" max="16384" width="10.2857142857143" style="1"/>
  </cols>
  <sheetData>
    <row r="1" s="1" customFormat="1" ht="18.75" spans="1:14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18.75" spans="1:14">
      <c r="A2" s="4" t="s">
        <v>749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="1" customFormat="1" ht="37.5" customHeight="1" spans="1:14">
      <c r="A3" s="5" t="s">
        <v>95</v>
      </c>
      <c r="B3" s="5"/>
      <c r="C3" s="5"/>
      <c r="D3" s="6" t="s">
        <v>348</v>
      </c>
      <c r="E3" s="6"/>
      <c r="F3" s="5" t="s">
        <v>128</v>
      </c>
      <c r="G3" s="5"/>
      <c r="H3" s="7" t="s">
        <v>129</v>
      </c>
      <c r="I3" s="50"/>
      <c r="J3" s="50"/>
      <c r="K3" s="50"/>
      <c r="L3" s="50"/>
      <c r="M3" s="50"/>
      <c r="N3" s="51"/>
    </row>
    <row r="4" s="1" customFormat="1" ht="29.25" customHeight="1" spans="1:14">
      <c r="A4" s="5" t="s">
        <v>97</v>
      </c>
      <c r="B4" s="5"/>
      <c r="C4" s="5"/>
      <c r="D4" s="8" t="s">
        <v>436</v>
      </c>
      <c r="E4" s="6"/>
      <c r="F4" s="5" t="s">
        <v>98</v>
      </c>
      <c r="G4" s="5"/>
      <c r="H4" s="9" t="s">
        <v>99</v>
      </c>
      <c r="I4" s="52"/>
      <c r="J4" s="52"/>
      <c r="K4" s="52"/>
      <c r="L4" s="52"/>
      <c r="M4" s="52"/>
      <c r="N4" s="53"/>
    </row>
    <row r="5" s="1" customFormat="1" ht="29.25" customHeight="1" spans="1:14">
      <c r="A5" s="5" t="s">
        <v>100</v>
      </c>
      <c r="B5" s="5"/>
      <c r="C5" s="5"/>
      <c r="D5" s="6" t="s">
        <v>437</v>
      </c>
      <c r="E5" s="6"/>
      <c r="F5" s="5" t="s">
        <v>102</v>
      </c>
      <c r="G5" s="5"/>
      <c r="H5" s="7" t="s">
        <v>713</v>
      </c>
      <c r="I5" s="50"/>
      <c r="J5" s="50"/>
      <c r="K5" s="50"/>
      <c r="L5" s="50"/>
      <c r="M5" s="50"/>
      <c r="N5" s="51"/>
    </row>
    <row r="6" s="1" customFormat="1" ht="24" customHeight="1" spans="1:14">
      <c r="A6" s="5" t="s">
        <v>50</v>
      </c>
      <c r="B6" s="5"/>
      <c r="C6" s="5" t="s">
        <v>133</v>
      </c>
      <c r="D6" s="5"/>
      <c r="E6" s="5" t="s">
        <v>134</v>
      </c>
      <c r="F6" s="5"/>
      <c r="G6" s="5" t="s">
        <v>135</v>
      </c>
      <c r="H6" s="5"/>
      <c r="I6" s="5"/>
      <c r="J6" s="5"/>
      <c r="K6" s="5"/>
      <c r="L6" s="5"/>
      <c r="M6" s="5" t="s">
        <v>136</v>
      </c>
      <c r="N6" s="5" t="s">
        <v>137</v>
      </c>
    </row>
    <row r="7" s="1" customFormat="1" ht="18" customHeight="1" spans="1:14">
      <c r="A7" s="5" t="s">
        <v>138</v>
      </c>
      <c r="B7" s="10">
        <v>1</v>
      </c>
      <c r="C7" s="11" t="s">
        <v>750</v>
      </c>
      <c r="D7" s="12"/>
      <c r="E7" s="13" t="s">
        <v>751</v>
      </c>
      <c r="F7" s="14"/>
      <c r="G7" s="15" t="s">
        <v>129</v>
      </c>
      <c r="H7" s="16"/>
      <c r="I7" s="16"/>
      <c r="J7" s="16"/>
      <c r="K7" s="16"/>
      <c r="L7" s="54"/>
      <c r="M7" s="54" t="s">
        <v>129</v>
      </c>
      <c r="N7" s="55" t="s">
        <v>129</v>
      </c>
    </row>
    <row r="8" s="1" customFormat="1" ht="18" customHeight="1" spans="1:14">
      <c r="A8" s="5"/>
      <c r="B8" s="17"/>
      <c r="C8" s="18"/>
      <c r="D8" s="19"/>
      <c r="E8" s="20"/>
      <c r="F8" s="21"/>
      <c r="G8" s="22"/>
      <c r="H8" s="23"/>
      <c r="I8" s="23"/>
      <c r="J8" s="23"/>
      <c r="K8" s="23"/>
      <c r="L8" s="56"/>
      <c r="M8" s="56"/>
      <c r="N8" s="57"/>
    </row>
    <row r="9" s="1" customFormat="1" ht="37" customHeight="1" spans="1:14">
      <c r="A9" s="5"/>
      <c r="B9" s="10">
        <v>2</v>
      </c>
      <c r="C9" s="11" t="s">
        <v>752</v>
      </c>
      <c r="D9" s="12"/>
      <c r="E9" s="13" t="s">
        <v>753</v>
      </c>
      <c r="F9" s="24" t="s">
        <v>754</v>
      </c>
      <c r="G9" s="25" t="s">
        <v>755</v>
      </c>
      <c r="H9" s="16"/>
      <c r="I9" s="16"/>
      <c r="J9" s="16"/>
      <c r="K9" s="16"/>
      <c r="L9" s="54"/>
      <c r="M9" s="54">
        <v>6</v>
      </c>
      <c r="N9" s="55">
        <v>1</v>
      </c>
    </row>
    <row r="10" s="1" customFormat="1" ht="37" customHeight="1" spans="1:14">
      <c r="A10" s="5"/>
      <c r="B10" s="17"/>
      <c r="C10" s="18"/>
      <c r="D10" s="19"/>
      <c r="E10" s="20"/>
      <c r="F10" s="26"/>
      <c r="G10" s="22"/>
      <c r="H10" s="23"/>
      <c r="I10" s="23"/>
      <c r="J10" s="23"/>
      <c r="K10" s="23"/>
      <c r="L10" s="56"/>
      <c r="M10" s="56"/>
      <c r="N10" s="57"/>
    </row>
    <row r="11" s="1" customFormat="1" ht="38.25" customHeight="1" spans="1:14">
      <c r="A11" s="5"/>
      <c r="B11" s="5">
        <v>3</v>
      </c>
      <c r="C11" s="27" t="s">
        <v>756</v>
      </c>
      <c r="D11" s="27"/>
      <c r="E11" s="5" t="s">
        <v>757</v>
      </c>
      <c r="F11" s="5"/>
      <c r="G11" s="28" t="s">
        <v>758</v>
      </c>
      <c r="H11" s="29"/>
      <c r="I11" s="29"/>
      <c r="J11" s="29"/>
      <c r="K11" s="29"/>
      <c r="L11" s="29"/>
      <c r="M11" s="29" t="s">
        <v>129</v>
      </c>
      <c r="N11" s="58">
        <v>1</v>
      </c>
    </row>
    <row r="12" s="1" customFormat="1" ht="18" customHeight="1" spans="1:14">
      <c r="A12" s="10" t="s">
        <v>148</v>
      </c>
      <c r="B12" s="10">
        <v>1</v>
      </c>
      <c r="C12" s="11" t="s">
        <v>759</v>
      </c>
      <c r="D12" s="12"/>
      <c r="E12" s="13" t="s">
        <v>760</v>
      </c>
      <c r="F12" s="14"/>
      <c r="G12" s="15" t="s">
        <v>761</v>
      </c>
      <c r="H12" s="16"/>
      <c r="I12" s="16"/>
      <c r="J12" s="16"/>
      <c r="K12" s="16"/>
      <c r="L12" s="54"/>
      <c r="M12" s="54">
        <v>10</v>
      </c>
      <c r="N12" s="55">
        <v>1</v>
      </c>
    </row>
    <row r="13" s="1" customFormat="1" ht="18" customHeight="1" spans="1:14">
      <c r="A13" s="30"/>
      <c r="B13" s="17"/>
      <c r="C13" s="18"/>
      <c r="D13" s="19"/>
      <c r="E13" s="31" t="s">
        <v>268</v>
      </c>
      <c r="F13" s="32"/>
      <c r="G13" s="22"/>
      <c r="H13" s="23"/>
      <c r="I13" s="23"/>
      <c r="J13" s="23"/>
      <c r="K13" s="23"/>
      <c r="L13" s="56"/>
      <c r="M13" s="56"/>
      <c r="N13" s="57"/>
    </row>
    <row r="14" s="1" customFormat="1" ht="59" customHeight="1" spans="1:14">
      <c r="A14" s="30"/>
      <c r="B14" s="5">
        <v>2</v>
      </c>
      <c r="C14" s="27" t="s">
        <v>762</v>
      </c>
      <c r="D14" s="27"/>
      <c r="E14" s="33" t="s">
        <v>763</v>
      </c>
      <c r="F14" s="34"/>
      <c r="G14" s="35" t="s">
        <v>764</v>
      </c>
      <c r="H14" s="29"/>
      <c r="I14" s="29"/>
      <c r="J14" s="29"/>
      <c r="K14" s="29"/>
      <c r="L14" s="29"/>
      <c r="M14" s="29" t="s">
        <v>129</v>
      </c>
      <c r="N14" s="58">
        <v>0.7</v>
      </c>
    </row>
    <row r="15" s="1" customFormat="1" ht="69" customHeight="1" spans="1:14">
      <c r="A15" s="30"/>
      <c r="B15" s="5">
        <v>3</v>
      </c>
      <c r="C15" s="27" t="s">
        <v>765</v>
      </c>
      <c r="D15" s="27"/>
      <c r="E15" s="33" t="s">
        <v>766</v>
      </c>
      <c r="F15" s="36"/>
      <c r="G15" s="35" t="s">
        <v>767</v>
      </c>
      <c r="H15" s="29"/>
      <c r="I15" s="29"/>
      <c r="J15" s="29"/>
      <c r="K15" s="29"/>
      <c r="L15" s="29"/>
      <c r="M15" s="29" t="s">
        <v>129</v>
      </c>
      <c r="N15" s="58">
        <v>0.7</v>
      </c>
    </row>
    <row r="16" s="1" customFormat="1" ht="53" customHeight="1" spans="1:14">
      <c r="A16" s="30"/>
      <c r="B16" s="5">
        <v>4</v>
      </c>
      <c r="C16" s="27" t="s">
        <v>768</v>
      </c>
      <c r="D16" s="27"/>
      <c r="E16" s="33" t="s">
        <v>769</v>
      </c>
      <c r="F16" s="36"/>
      <c r="G16" s="35" t="s">
        <v>770</v>
      </c>
      <c r="H16" s="29"/>
      <c r="I16" s="29"/>
      <c r="J16" s="29"/>
      <c r="K16" s="29"/>
      <c r="L16" s="29"/>
      <c r="M16" s="29" t="s">
        <v>129</v>
      </c>
      <c r="N16" s="58">
        <v>0.7</v>
      </c>
    </row>
    <row r="17" s="1" customFormat="1" ht="61" customHeight="1" spans="1:14">
      <c r="A17" s="17"/>
      <c r="B17" s="5">
        <v>5</v>
      </c>
      <c r="C17" s="27" t="s">
        <v>771</v>
      </c>
      <c r="D17" s="27"/>
      <c r="E17" s="33" t="s">
        <v>772</v>
      </c>
      <c r="F17" s="36"/>
      <c r="G17" s="35" t="s">
        <v>773</v>
      </c>
      <c r="H17" s="29"/>
      <c r="I17" s="29"/>
      <c r="J17" s="29"/>
      <c r="K17" s="29"/>
      <c r="L17" s="29"/>
      <c r="M17" s="29" t="s">
        <v>129</v>
      </c>
      <c r="N17" s="58">
        <v>0.7</v>
      </c>
    </row>
    <row r="18" s="1" customFormat="1" ht="30.75" customHeight="1" spans="1:14">
      <c r="A18" s="5" t="s">
        <v>199</v>
      </c>
      <c r="B18" s="5"/>
      <c r="C18" s="37" t="s">
        <v>774</v>
      </c>
      <c r="D18" s="38"/>
      <c r="E18" s="38"/>
      <c r="F18" s="39"/>
      <c r="G18" s="38"/>
      <c r="H18" s="38"/>
      <c r="I18" s="38"/>
      <c r="J18" s="38"/>
      <c r="K18" s="38"/>
      <c r="L18" s="38"/>
      <c r="M18" s="38"/>
      <c r="N18" s="59"/>
    </row>
    <row r="19" s="1" customFormat="1" ht="21" customHeight="1" spans="1:14">
      <c r="A19" s="5"/>
      <c r="B19" s="5"/>
      <c r="C19" s="40" t="s">
        <v>709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60"/>
    </row>
    <row r="20" s="1" customFormat="1" spans="1:14">
      <c r="A20" s="5"/>
      <c r="B20" s="5"/>
      <c r="C20" s="41" t="s">
        <v>378</v>
      </c>
      <c r="D20" s="42"/>
      <c r="E20" s="43" t="s">
        <v>83</v>
      </c>
      <c r="F20" s="44"/>
      <c r="G20" s="44"/>
      <c r="H20" s="44"/>
      <c r="I20" s="44"/>
      <c r="J20" s="44"/>
      <c r="K20" s="42"/>
      <c r="L20" s="42"/>
      <c r="M20" s="42"/>
      <c r="N20" s="61"/>
    </row>
    <row r="21" s="1" customFormat="1" spans="1:14">
      <c r="A21" s="5"/>
      <c r="B21" s="5"/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61"/>
    </row>
    <row r="22" s="1" customFormat="1" ht="7.5" customHeight="1" spans="1:14">
      <c r="A22" s="5"/>
      <c r="B22" s="5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61"/>
    </row>
    <row r="23" s="1" customFormat="1" ht="12" customHeight="1" spans="1:14">
      <c r="A23" s="5"/>
      <c r="B23" s="5"/>
      <c r="C23" s="41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61"/>
    </row>
    <row r="24" s="1" customFormat="1" ht="5.25" customHeight="1" spans="1:14">
      <c r="A24" s="5"/>
      <c r="B24" s="5"/>
      <c r="C24" s="41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61"/>
    </row>
    <row r="25" s="1" customFormat="1" ht="20.25" customHeight="1" spans="1:14">
      <c r="A25" s="5"/>
      <c r="B25" s="5"/>
      <c r="C25" s="45" t="s">
        <v>118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62"/>
    </row>
    <row r="26" s="1" customFormat="1" ht="20.25" customHeight="1" spans="1:14">
      <c r="A26" s="5"/>
      <c r="B26" s="5"/>
      <c r="C26" s="47" t="s">
        <v>448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63"/>
    </row>
    <row r="27" s="1" customFormat="1" ht="24" customHeight="1" spans="1:14">
      <c r="A27" s="5" t="s">
        <v>201</v>
      </c>
      <c r="B27" s="5"/>
      <c r="C27" s="37" t="s">
        <v>747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59"/>
    </row>
    <row r="28" s="1" customFormat="1" ht="19.5" customHeight="1" spans="1:14">
      <c r="A28" s="5"/>
      <c r="B28" s="5"/>
      <c r="C28" s="40" t="s">
        <v>748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60"/>
    </row>
    <row r="29" s="1" customFormat="1" spans="1:14">
      <c r="A29" s="5"/>
      <c r="B29" s="5"/>
      <c r="C29" s="40" t="s">
        <v>378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60"/>
    </row>
    <row r="30" s="1" customFormat="1" ht="8.25" customHeight="1" spans="1:14">
      <c r="A30" s="5"/>
      <c r="B30" s="5"/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61"/>
    </row>
    <row r="31" s="1" customFormat="1" ht="21.75" customHeight="1" spans="1:14">
      <c r="A31" s="5"/>
      <c r="B31" s="5"/>
      <c r="C31" s="4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61"/>
    </row>
    <row r="32" s="1" customFormat="1" ht="12" hidden="1" customHeight="1" spans="1:14">
      <c r="A32" s="5"/>
      <c r="B32" s="5"/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61"/>
    </row>
    <row r="33" s="1" customFormat="1" spans="1:14">
      <c r="A33" s="5"/>
      <c r="B33" s="5"/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61"/>
    </row>
    <row r="34" s="1" customFormat="1" spans="1:14">
      <c r="A34" s="5"/>
      <c r="B34" s="5"/>
      <c r="C34" s="4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61"/>
    </row>
    <row r="35" s="1" customFormat="1" ht="18.75" customHeight="1" spans="1:14">
      <c r="A35" s="5"/>
      <c r="B35" s="5"/>
      <c r="C35" s="45" t="s">
        <v>118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62"/>
    </row>
    <row r="36" s="1" customFormat="1" ht="18.75" customHeight="1" spans="1:14">
      <c r="A36" s="5"/>
      <c r="B36" s="5"/>
      <c r="C36" s="47" t="s">
        <v>448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63"/>
    </row>
    <row r="37" s="1" customFormat="1" spans="1:14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</sheetData>
  <mergeCells count="67">
    <mergeCell ref="A1:N1"/>
    <mergeCell ref="A2:N2"/>
    <mergeCell ref="A3:C3"/>
    <mergeCell ref="D3:E3"/>
    <mergeCell ref="F3:G3"/>
    <mergeCell ref="H3:N3"/>
    <mergeCell ref="A4:C4"/>
    <mergeCell ref="D4:E4"/>
    <mergeCell ref="F4:G4"/>
    <mergeCell ref="H4:N4"/>
    <mergeCell ref="A5:C5"/>
    <mergeCell ref="D5:E5"/>
    <mergeCell ref="F5:G5"/>
    <mergeCell ref="H5:N5"/>
    <mergeCell ref="A6:B6"/>
    <mergeCell ref="C6:D6"/>
    <mergeCell ref="E6:F6"/>
    <mergeCell ref="G6:L6"/>
    <mergeCell ref="C11:D11"/>
    <mergeCell ref="E11:F11"/>
    <mergeCell ref="G11:L11"/>
    <mergeCell ref="E12:F12"/>
    <mergeCell ref="E13:F13"/>
    <mergeCell ref="C14:D14"/>
    <mergeCell ref="G14:L14"/>
    <mergeCell ref="C15:D15"/>
    <mergeCell ref="G15:L15"/>
    <mergeCell ref="C16:D16"/>
    <mergeCell ref="G16:L16"/>
    <mergeCell ref="C17:D17"/>
    <mergeCell ref="G17:L17"/>
    <mergeCell ref="C18:N18"/>
    <mergeCell ref="C19:N19"/>
    <mergeCell ref="C20:D20"/>
    <mergeCell ref="E20:J20"/>
    <mergeCell ref="K20:N20"/>
    <mergeCell ref="C25:N25"/>
    <mergeCell ref="C26:N26"/>
    <mergeCell ref="C27:N27"/>
    <mergeCell ref="C28:N28"/>
    <mergeCell ref="C29:N29"/>
    <mergeCell ref="C35:N35"/>
    <mergeCell ref="C36:N36"/>
    <mergeCell ref="A7:A11"/>
    <mergeCell ref="A12:A17"/>
    <mergeCell ref="B7:B8"/>
    <mergeCell ref="B9:B10"/>
    <mergeCell ref="B12:B13"/>
    <mergeCell ref="E9:E10"/>
    <mergeCell ref="F9:F10"/>
    <mergeCell ref="M7:M8"/>
    <mergeCell ref="M9:M10"/>
    <mergeCell ref="M12:M13"/>
    <mergeCell ref="N7:N8"/>
    <mergeCell ref="N9:N10"/>
    <mergeCell ref="N12:N13"/>
    <mergeCell ref="C7:D8"/>
    <mergeCell ref="E7:F8"/>
    <mergeCell ref="G7:L8"/>
    <mergeCell ref="C9:D10"/>
    <mergeCell ref="G9:L10"/>
    <mergeCell ref="C12:D13"/>
    <mergeCell ref="G12:L13"/>
    <mergeCell ref="A18:B26"/>
    <mergeCell ref="C21:N24"/>
    <mergeCell ref="A27:B36"/>
    <mergeCell ref="C30:N34"/>
  </mergeCells>
  <pageMargins left="0.75" right="0.75" top="1" bottom="1" header="0.5" footer="0.5"/>
  <pageSetup paperSize="9" scale="7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表土剥离和回覆质量报验表</vt:lpstr>
      <vt:lpstr>表土玻璃和回覆质量评定表</vt:lpstr>
      <vt:lpstr>土方开挖报验表</vt:lpstr>
      <vt:lpstr>土方开挖评定表</vt:lpstr>
      <vt:lpstr>表土及土质岸坡清理工序</vt:lpstr>
      <vt:lpstr>软基或土质岸坡开挖工序</vt:lpstr>
      <vt:lpstr>土料填筑质量报验单</vt:lpstr>
      <vt:lpstr>土料填筑评定表</vt:lpstr>
      <vt:lpstr>土料填筑结合面处理工序</vt:lpstr>
      <vt:lpstr>土料填筑卸料及铺填工序</vt:lpstr>
      <vt:lpstr>土料填筑土料压实工序</vt:lpstr>
      <vt:lpstr>土料填筑接缝处理工序</vt:lpstr>
      <vt:lpstr>田埂修筑报验表</vt:lpstr>
      <vt:lpstr>田埂修筑质量评定表</vt:lpstr>
      <vt:lpstr>田块平整报验表</vt:lpstr>
      <vt:lpstr>田块平整质量评定表</vt:lpstr>
      <vt:lpstr>混凝土预制构件安装单元</vt:lpstr>
      <vt:lpstr>混凝土构件外观质量检查工序</vt:lpstr>
      <vt:lpstr>预制件吊装工序</vt:lpstr>
      <vt:lpstr>预制件接缝及接头处理工序</vt:lpstr>
      <vt:lpstr>普通混凝土单元</vt:lpstr>
      <vt:lpstr>基础面处理工序</vt:lpstr>
      <vt:lpstr>施工缝处理工序</vt:lpstr>
      <vt:lpstr>模板制作及安装工序</vt:lpstr>
      <vt:lpstr>钢筋制作及安装工序</vt:lpstr>
      <vt:lpstr>预埋件制作及安装工序</vt:lpstr>
      <vt:lpstr>混凝土浇筑工序</vt:lpstr>
      <vt:lpstr>混凝土外观质量检查工序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CHENG</cp:lastModifiedBy>
  <cp:revision>1</cp:revision>
  <dcterms:created xsi:type="dcterms:W3CDTF">2024-12-02T01:12:00Z</dcterms:created>
  <dcterms:modified xsi:type="dcterms:W3CDTF">2025-03-22T07:33:17Z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2A3072C438FE4B5092F1CD210925856F_13</vt:lpwstr>
  </property>
  <property fmtid="{D5CDD505-2E9C-101B-9397-08002B2CF9AE}" pid="3" name="KSOProductBuildVer">
    <vt:lpwstr>2052-12.1.0.20305</vt:lpwstr>
  </property>
</Properties>
</file>